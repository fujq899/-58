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10500"/>
  </bookViews>
  <sheets>
    <sheet name="考勤表" sheetId="1" r:id="rId1"/>
    <sheet name="工资表" sheetId="2" r:id="rId2"/>
  </sheets>
  <definedNames>
    <definedName name="_xlnm._FilterDatabase" localSheetId="1" hidden="1">工资表!$A$1:$L$16</definedName>
    <definedName name="_xlnm.Print_Titles" localSheetId="0">考勤表!$1:$3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<sst xmlns="http://schemas.openxmlformats.org/spreadsheetml/2006/main" count="338" uniqueCount="75">
  <si>
    <t>2026年 6月份项目管理人员（考勤）表</t>
  </si>
  <si>
    <t>用人单位：北京中建海外装饰工程有限公司</t>
  </si>
  <si>
    <t>项目名称：青羊58项目</t>
  </si>
  <si>
    <t xml:space="preserve">      班组：</t>
  </si>
  <si>
    <t>序号</t>
  </si>
  <si>
    <t>姓  名</t>
  </si>
  <si>
    <t>出勤天数</t>
  </si>
  <si>
    <t>计发方式</t>
  </si>
  <si>
    <t>工价（元）/月</t>
  </si>
  <si>
    <t>合计工资</t>
  </si>
  <si>
    <t>备注</t>
  </si>
  <si>
    <t>蒲伟君</t>
  </si>
  <si>
    <t>√</t>
  </si>
  <si>
    <t>银行代发</t>
  </si>
  <si>
    <t>现场负责人</t>
  </si>
  <si>
    <t>牟洋</t>
  </si>
  <si>
    <t>施工员</t>
  </si>
  <si>
    <t>胡廷鑫</t>
  </si>
  <si>
    <t>魏友</t>
  </si>
  <si>
    <t>技术员</t>
  </si>
  <si>
    <t>郑国江</t>
  </si>
  <si>
    <t>安全员</t>
  </si>
  <si>
    <t>韩双磊</t>
  </si>
  <si>
    <t>郭世杰</t>
  </si>
  <si>
    <t>资料员</t>
  </si>
  <si>
    <t>季聂林</t>
  </si>
  <si>
    <t>栋号管理</t>
  </si>
  <si>
    <t>制表人：</t>
  </si>
  <si>
    <t>项目负责人：</t>
  </si>
  <si>
    <t>报表时间：2026年 7月  日</t>
  </si>
  <si>
    <t>注：1、出勤天数按每8小时间计1天，4小时计0.5天，以此折算。2、计发方式为小承包或者点工。</t>
  </si>
  <si>
    <t>附件7</t>
  </si>
  <si>
    <t xml:space="preserve">  青羊58项目 工程项目 2026年 7月份项目管理人员工资核算(发放)表</t>
  </si>
  <si>
    <t xml:space="preserve">  施工企业名称（盖章）：</t>
  </si>
  <si>
    <t>编制人姓名及电话：</t>
  </si>
  <si>
    <t>民工姓名</t>
  </si>
  <si>
    <t>电话号码</t>
  </si>
  <si>
    <t>身份证号码</t>
  </si>
  <si>
    <t>工资银行卡（折）账号</t>
  </si>
  <si>
    <t>银行名称</t>
  </si>
  <si>
    <t>开户地（他行需填写）</t>
  </si>
  <si>
    <t>月核算应发工资数
（￥元）</t>
  </si>
  <si>
    <t>本月实发工资数（￥元）</t>
  </si>
  <si>
    <t>个税</t>
  </si>
  <si>
    <t>实发金额</t>
  </si>
  <si>
    <t>民工本人
签字确认
（按指印）</t>
  </si>
  <si>
    <t>省份+地级市</t>
  </si>
  <si>
    <t>511321198707247601</t>
  </si>
  <si>
    <t>6217996510014029548</t>
  </si>
  <si>
    <t>中国邮政储蓄银行</t>
  </si>
  <si>
    <t>中国邮政储蓄银行股份有限公司成都市双流区文星营业所</t>
  </si>
  <si>
    <t>510824200207023017</t>
  </si>
  <si>
    <t>6217003800052681107</t>
  </si>
  <si>
    <t>中国建设银行</t>
  </si>
  <si>
    <t>中国建设银行股份有限公司成都兴隆支行</t>
  </si>
  <si>
    <t>513427199802030814</t>
  </si>
  <si>
    <t>6228480969613032172</t>
  </si>
  <si>
    <t>中国农业银行</t>
  </si>
  <si>
    <t>农行宁南县支行</t>
  </si>
  <si>
    <t>51132219941210257X</t>
  </si>
  <si>
    <t>6215683100007672819</t>
  </si>
  <si>
    <t>中国银行</t>
  </si>
  <si>
    <t>中国银行南充营山支行</t>
  </si>
  <si>
    <t>513021199710086175</t>
  </si>
  <si>
    <t>6217212317003060148</t>
  </si>
  <si>
    <t>中国工商银行</t>
  </si>
  <si>
    <t>达州达川支行</t>
  </si>
  <si>
    <t>制表人</t>
  </si>
  <si>
    <t>项目负责人</t>
  </si>
  <si>
    <t>总经理</t>
  </si>
  <si>
    <t>银行代发机构受理签章</t>
  </si>
  <si>
    <t xml:space="preserve"> 审核人：    </t>
  </si>
  <si>
    <t>审核人：</t>
  </si>
  <si>
    <t xml:space="preserve">审核人：  </t>
  </si>
  <si>
    <t>备  注：1、本表编制后先公示3天并经民工本人签字确认，如有差错出入及时更正，有民工签字的核算表须妥善保存；2、本表编制一式叁份，施工单位劳资专管员、财务和公示各存一份。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</si>
</sst>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2"/>
      <name val="宋体"/>
      <charset val="134"/>
    </font>
    <font>
      <sz val="12"/>
      <color theme="1"/>
      <name val="宋体"/>
      <charset val="134"/>
    </font>
    <font>
      <u/>
      <sz val="12"/>
      <color theme="1"/>
      <name val="宋体"/>
      <charset val="134"/>
    </font>
    <font>
      <sz val="12"/>
      <color rgb="FF000000"/>
      <name val="宋体"/>
      <charset val="134"/>
    </font>
    <font>
      <sz val="11"/>
      <color theme="1"/>
      <name val="宋体"/>
      <charset val="134"/>
    </font>
    <font>
      <sz val="11"/>
      <name val="宋体"/>
      <charset val="134"/>
    </font>
    <font>
      <sz val="10"/>
      <name val="宋体"/>
      <charset val="134"/>
    </font>
    <font>
      <sz val="20"/>
      <name val="黑体"/>
      <charset val="134"/>
    </font>
    <font>
      <sz val="11"/>
      <color theme="1"/>
      <name val="宋体"/>
      <charset val="134"/>
      <scheme val="minor"/>
    </font>
    <font>
      <sz val="1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8" fillId="0" borderId="0">
      <alignment vertical="center"/>
    </xf>
    <xf numFmtId="44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  <xf numFmtId="42" fontId="8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8" fillId="4" borderId="11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12">
      <alignment vertical="center"/>
    </xf>
    <xf numFmtId="0" fontId="17" fillId="0" borderId="12">
      <alignment vertical="center"/>
    </xf>
    <xf numFmtId="0" fontId="18" fillId="0" borderId="13">
      <alignment vertical="center"/>
    </xf>
    <xf numFmtId="0" fontId="18" fillId="0" borderId="0">
      <alignment vertical="center"/>
    </xf>
    <xf numFmtId="0" fontId="19" fillId="5" borderId="14">
      <alignment vertical="center"/>
    </xf>
    <xf numFmtId="0" fontId="20" fillId="6" borderId="15">
      <alignment vertical="center"/>
    </xf>
    <xf numFmtId="0" fontId="21" fillId="6" borderId="14">
      <alignment vertical="center"/>
    </xf>
    <xf numFmtId="0" fontId="22" fillId="7" borderId="16">
      <alignment vertical="center"/>
    </xf>
    <xf numFmtId="0" fontId="23" fillId="0" borderId="17">
      <alignment vertical="center"/>
    </xf>
    <xf numFmtId="0" fontId="24" fillId="0" borderId="18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6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3" xfId="0" applyBorder="1" applyAlignment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176" fontId="4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6" fontId="1" fillId="0" borderId="1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49" fontId="1" fillId="0" borderId="4" xfId="0" applyNumberFormat="1" applyFont="1" applyBorder="1" applyAlignment="1">
      <alignment horizontal="center" vertical="center"/>
    </xf>
    <xf numFmtId="176" fontId="1" fillId="0" borderId="4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/>
    <xf numFmtId="0" fontId="1" fillId="0" borderId="5" xfId="0" applyFont="1" applyBorder="1" applyAlignment="1">
      <alignment horizontal="center" vertical="center" wrapText="1"/>
    </xf>
    <xf numFmtId="176" fontId="1" fillId="0" borderId="5" xfId="0" applyNumberFormat="1" applyFont="1" applyBorder="1" applyAlignment="1">
      <alignment horizontal="center" vertical="center" wrapText="1"/>
    </xf>
    <xf numFmtId="0" fontId="0" fillId="0" borderId="6" xfId="0" applyBorder="1" applyAlignment="1"/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176" fontId="1" fillId="0" borderId="8" xfId="0" applyNumberFormat="1" applyFont="1" applyBorder="1" applyAlignment="1">
      <alignment horizontal="center" vertical="center" wrapText="1"/>
    </xf>
    <xf numFmtId="0" fontId="0" fillId="0" borderId="9" xfId="0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9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0" xfId="0" applyBorder="1" applyAlignment="1"/>
    <xf numFmtId="0" fontId="6" fillId="0" borderId="1" xfId="0" applyFont="1" applyBorder="1" applyAlignment="1">
      <alignment horizontal="center" vertical="center" wrapText="1"/>
    </xf>
    <xf numFmtId="176" fontId="6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49" fontId="6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1" fillId="0" borderId="1" xfId="0" applyNumberFormat="1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M13"/>
  <sheetViews>
    <sheetView tabSelected="1" workbookViewId="0">
      <selection activeCell="U7" sqref="U7"/>
    </sheetView>
  </sheetViews>
  <sheetFormatPr defaultColWidth="3.45833333333333" defaultRowHeight="15.6"/>
  <cols>
    <col min="1" max="1" width="3.45833333333333" style="36" customWidth="1"/>
    <col min="2" max="2" width="3.45833333333333" style="37" customWidth="1"/>
    <col min="3" max="3" width="5.95833333333333" style="37" customWidth="1"/>
    <col min="4" max="34" width="3.45833333333333" style="36" customWidth="1"/>
    <col min="35" max="35" width="8.9" style="36" customWidth="1"/>
    <col min="36" max="36" width="8.09166666666667" style="36" customWidth="1"/>
    <col min="37" max="37" width="11.5416666666667" style="36" customWidth="1"/>
    <col min="38" max="38" width="9.63333333333333" style="38" customWidth="1"/>
    <col min="39" max="39" width="10.5916666666667" style="36" customWidth="1"/>
    <col min="40" max="16384" width="3.45833333333333" style="36" customWidth="1"/>
  </cols>
  <sheetData>
    <row r="1" s="35" customFormat="1" ht="26.25" customHeight="1" spans="1:39">
      <c r="A1" s="39" t="s">
        <v>0</v>
      </c>
    </row>
    <row r="2" s="35" customFormat="1" ht="18.75" customHeight="1" spans="1:39">
      <c r="A2" s="40" t="s">
        <v>1</v>
      </c>
      <c r="N2" s="41" t="s">
        <v>2</v>
      </c>
      <c r="AA2" s="42" t="s">
        <v>3</v>
      </c>
      <c r="AB2" s="34"/>
      <c r="AC2" s="34"/>
      <c r="AD2" s="34"/>
      <c r="AE2" s="34"/>
      <c r="AF2" s="34"/>
      <c r="AG2" s="34"/>
      <c r="AH2" s="34"/>
      <c r="AI2" s="34"/>
      <c r="AJ2" s="34"/>
      <c r="AK2" s="42"/>
      <c r="AL2" s="34"/>
      <c r="AM2" s="34"/>
    </row>
    <row r="3" s="35" customFormat="1" ht="30" customHeight="1" spans="1:39">
      <c r="A3" s="43" t="s">
        <v>4</v>
      </c>
      <c r="B3" s="44" t="s">
        <v>5</v>
      </c>
      <c r="C3" s="45"/>
      <c r="D3" s="43">
        <v>1</v>
      </c>
      <c r="E3" s="43">
        <v>2</v>
      </c>
      <c r="F3" s="43">
        <v>3</v>
      </c>
      <c r="G3" s="43">
        <v>4</v>
      </c>
      <c r="H3" s="43">
        <v>5</v>
      </c>
      <c r="I3" s="43">
        <v>6</v>
      </c>
      <c r="J3" s="43">
        <v>7</v>
      </c>
      <c r="K3" s="43">
        <v>8</v>
      </c>
      <c r="L3" s="43">
        <v>9</v>
      </c>
      <c r="M3" s="43">
        <v>10</v>
      </c>
      <c r="N3" s="43">
        <v>11</v>
      </c>
      <c r="O3" s="43">
        <v>12</v>
      </c>
      <c r="P3" s="43">
        <v>13</v>
      </c>
      <c r="Q3" s="43">
        <v>14</v>
      </c>
      <c r="R3" s="43">
        <v>15</v>
      </c>
      <c r="S3" s="43">
        <v>16</v>
      </c>
      <c r="T3" s="43">
        <v>17</v>
      </c>
      <c r="U3" s="43">
        <v>18</v>
      </c>
      <c r="V3" s="43">
        <v>19</v>
      </c>
      <c r="W3" s="43">
        <v>20</v>
      </c>
      <c r="X3" s="43">
        <v>21</v>
      </c>
      <c r="Y3" s="43">
        <v>22</v>
      </c>
      <c r="Z3" s="43">
        <v>23</v>
      </c>
      <c r="AA3" s="43">
        <v>24</v>
      </c>
      <c r="AB3" s="43">
        <v>25</v>
      </c>
      <c r="AC3" s="43">
        <v>26</v>
      </c>
      <c r="AD3" s="43">
        <v>27</v>
      </c>
      <c r="AE3" s="43">
        <v>28</v>
      </c>
      <c r="AF3" s="43">
        <v>29</v>
      </c>
      <c r="AG3" s="43">
        <v>30</v>
      </c>
      <c r="AH3" s="46">
        <v>31</v>
      </c>
      <c r="AI3" s="46" t="s">
        <v>6</v>
      </c>
      <c r="AJ3" s="46" t="s">
        <v>7</v>
      </c>
      <c r="AK3" s="43" t="s">
        <v>8</v>
      </c>
      <c r="AL3" s="47" t="s">
        <v>9</v>
      </c>
      <c r="AM3" s="43" t="s">
        <v>10</v>
      </c>
    </row>
    <row r="4" s="35" customFormat="1" ht="39" customHeight="1" spans="1:39">
      <c r="A4" s="43">
        <v>1</v>
      </c>
      <c r="B4" s="48" t="s">
        <v>11</v>
      </c>
      <c r="C4" s="45"/>
      <c r="D4" s="49" t="s">
        <v>12</v>
      </c>
      <c r="E4" s="50" t="s">
        <v>12</v>
      </c>
      <c r="F4" s="50" t="s">
        <v>12</v>
      </c>
      <c r="G4" s="50" t="s">
        <v>12</v>
      </c>
      <c r="H4" s="50" t="s">
        <v>12</v>
      </c>
      <c r="I4" s="50" t="s">
        <v>12</v>
      </c>
      <c r="J4" s="50" t="s">
        <v>12</v>
      </c>
      <c r="K4" s="50" t="s">
        <v>12</v>
      </c>
      <c r="L4" s="50" t="s">
        <v>12</v>
      </c>
      <c r="M4" s="50" t="s">
        <v>12</v>
      </c>
      <c r="N4" s="50" t="s">
        <v>12</v>
      </c>
      <c r="O4" s="50" t="s">
        <v>12</v>
      </c>
      <c r="P4" s="50" t="s">
        <v>12</v>
      </c>
      <c r="Q4" s="50" t="s">
        <v>12</v>
      </c>
      <c r="R4" s="50" t="s">
        <v>12</v>
      </c>
      <c r="S4" s="50" t="s">
        <v>12</v>
      </c>
      <c r="T4" s="50" t="s">
        <v>12</v>
      </c>
      <c r="U4" s="50" t="s">
        <v>12</v>
      </c>
      <c r="V4" s="50" t="s">
        <v>12</v>
      </c>
      <c r="W4" s="50" t="s">
        <v>12</v>
      </c>
      <c r="X4" s="50" t="s">
        <v>12</v>
      </c>
      <c r="Y4" s="50" t="s">
        <v>12</v>
      </c>
      <c r="Z4" s="50" t="s">
        <v>12</v>
      </c>
      <c r="AA4" s="50" t="s">
        <v>12</v>
      </c>
      <c r="AB4" s="50" t="s">
        <v>12</v>
      </c>
      <c r="AC4" s="50" t="s">
        <v>12</v>
      </c>
      <c r="AD4" s="50" t="s">
        <v>12</v>
      </c>
      <c r="AE4" s="50" t="s">
        <v>12</v>
      </c>
      <c r="AF4" s="50" t="s">
        <v>12</v>
      </c>
      <c r="AG4" s="50" t="s">
        <v>12</v>
      </c>
      <c r="AH4" s="50" t="s">
        <v>12</v>
      </c>
      <c r="AI4" s="46">
        <v>30</v>
      </c>
      <c r="AJ4" s="51" t="s">
        <v>13</v>
      </c>
      <c r="AK4" s="52"/>
      <c r="AL4" s="52"/>
      <c r="AM4" s="53" t="s">
        <v>14</v>
      </c>
    </row>
    <row r="5" s="35" customFormat="1" ht="39" customHeight="1" spans="1:39">
      <c r="A5" s="43">
        <v>2</v>
      </c>
      <c r="B5" s="48" t="s">
        <v>15</v>
      </c>
      <c r="C5" s="45"/>
      <c r="D5" s="54" t="s">
        <v>12</v>
      </c>
      <c r="E5" s="54" t="s">
        <v>12</v>
      </c>
      <c r="F5" s="54" t="s">
        <v>12</v>
      </c>
      <c r="G5" s="54" t="s">
        <v>12</v>
      </c>
      <c r="H5" s="54" t="s">
        <v>12</v>
      </c>
      <c r="I5" s="54" t="s">
        <v>12</v>
      </c>
      <c r="J5" s="54" t="s">
        <v>12</v>
      </c>
      <c r="K5" s="54" t="s">
        <v>12</v>
      </c>
      <c r="L5" s="54" t="s">
        <v>12</v>
      </c>
      <c r="M5" s="54" t="s">
        <v>12</v>
      </c>
      <c r="N5" s="54" t="s">
        <v>12</v>
      </c>
      <c r="O5" s="54" t="s">
        <v>12</v>
      </c>
      <c r="P5" s="54" t="s">
        <v>12</v>
      </c>
      <c r="Q5" s="54" t="s">
        <v>12</v>
      </c>
      <c r="R5" s="54" t="s">
        <v>12</v>
      </c>
      <c r="S5" s="54" t="s">
        <v>12</v>
      </c>
      <c r="T5" s="54" t="s">
        <v>12</v>
      </c>
      <c r="U5" s="54" t="s">
        <v>12</v>
      </c>
      <c r="V5" s="54" t="s">
        <v>12</v>
      </c>
      <c r="W5" s="54" t="s">
        <v>12</v>
      </c>
      <c r="X5" s="54" t="s">
        <v>12</v>
      </c>
      <c r="Y5" s="54" t="s">
        <v>12</v>
      </c>
      <c r="Z5" s="54" t="s">
        <v>12</v>
      </c>
      <c r="AA5" s="54" t="s">
        <v>12</v>
      </c>
      <c r="AB5" s="54" t="s">
        <v>12</v>
      </c>
      <c r="AC5" s="54" t="s">
        <v>12</v>
      </c>
      <c r="AD5" s="54" t="s">
        <v>12</v>
      </c>
      <c r="AE5" s="54" t="s">
        <v>12</v>
      </c>
      <c r="AF5" s="54" t="s">
        <v>12</v>
      </c>
      <c r="AG5" s="54" t="s">
        <v>12</v>
      </c>
      <c r="AH5" s="54" t="s">
        <v>12</v>
      </c>
      <c r="AI5" s="46">
        <v>30</v>
      </c>
      <c r="AJ5" s="51" t="s">
        <v>13</v>
      </c>
      <c r="AK5" s="52"/>
      <c r="AL5" s="55"/>
      <c r="AM5" s="53" t="s">
        <v>16</v>
      </c>
    </row>
    <row r="6" s="35" customFormat="1" ht="39" customHeight="1" spans="1:39">
      <c r="A6" s="43">
        <v>3</v>
      </c>
      <c r="B6" s="52" t="s">
        <v>17</v>
      </c>
      <c r="C6" s="45"/>
      <c r="D6" s="54" t="s">
        <v>12</v>
      </c>
      <c r="E6" s="54" t="s">
        <v>12</v>
      </c>
      <c r="F6" s="54" t="s">
        <v>12</v>
      </c>
      <c r="G6" s="54" t="s">
        <v>12</v>
      </c>
      <c r="H6" s="54" t="s">
        <v>12</v>
      </c>
      <c r="I6" s="54" t="s">
        <v>12</v>
      </c>
      <c r="J6" s="54" t="s">
        <v>12</v>
      </c>
      <c r="K6" s="54" t="s">
        <v>12</v>
      </c>
      <c r="L6" s="54" t="s">
        <v>12</v>
      </c>
      <c r="M6" s="54" t="s">
        <v>12</v>
      </c>
      <c r="N6" s="54" t="s">
        <v>12</v>
      </c>
      <c r="O6" s="54" t="s">
        <v>12</v>
      </c>
      <c r="P6" s="54" t="s">
        <v>12</v>
      </c>
      <c r="Q6" s="54" t="s">
        <v>12</v>
      </c>
      <c r="R6" s="54" t="s">
        <v>12</v>
      </c>
      <c r="S6" s="54" t="s">
        <v>12</v>
      </c>
      <c r="T6" s="54" t="s">
        <v>12</v>
      </c>
      <c r="U6" s="54" t="s">
        <v>12</v>
      </c>
      <c r="V6" s="54" t="s">
        <v>12</v>
      </c>
      <c r="W6" s="54" t="s">
        <v>12</v>
      </c>
      <c r="X6" s="54" t="s">
        <v>12</v>
      </c>
      <c r="Y6" s="54" t="s">
        <v>12</v>
      </c>
      <c r="Z6" s="54" t="s">
        <v>12</v>
      </c>
      <c r="AA6" s="54" t="s">
        <v>12</v>
      </c>
      <c r="AB6" s="54" t="s">
        <v>12</v>
      </c>
      <c r="AC6" s="54" t="s">
        <v>12</v>
      </c>
      <c r="AD6" s="54" t="s">
        <v>12</v>
      </c>
      <c r="AE6" s="54" t="s">
        <v>12</v>
      </c>
      <c r="AF6" s="54" t="s">
        <v>12</v>
      </c>
      <c r="AG6" s="54" t="s">
        <v>12</v>
      </c>
      <c r="AH6" s="54" t="s">
        <v>12</v>
      </c>
      <c r="AI6" s="46">
        <v>30</v>
      </c>
      <c r="AJ6" s="51" t="s">
        <v>13</v>
      </c>
      <c r="AK6" s="52"/>
      <c r="AL6" s="55"/>
      <c r="AM6" s="53" t="s">
        <v>16</v>
      </c>
    </row>
    <row r="7" s="35" customFormat="1" ht="39" customHeight="1" spans="1:39">
      <c r="A7" s="43">
        <v>4</v>
      </c>
      <c r="B7" s="56" t="s">
        <v>18</v>
      </c>
      <c r="C7" s="45"/>
      <c r="D7" s="54" t="s">
        <v>12</v>
      </c>
      <c r="E7" s="54" t="s">
        <v>12</v>
      </c>
      <c r="F7" s="54" t="s">
        <v>12</v>
      </c>
      <c r="G7" s="54" t="s">
        <v>12</v>
      </c>
      <c r="H7" s="54" t="s">
        <v>12</v>
      </c>
      <c r="I7" s="54" t="s">
        <v>12</v>
      </c>
      <c r="J7" s="54" t="s">
        <v>12</v>
      </c>
      <c r="K7" s="54" t="s">
        <v>12</v>
      </c>
      <c r="L7" s="54" t="s">
        <v>12</v>
      </c>
      <c r="M7" s="54" t="s">
        <v>12</v>
      </c>
      <c r="N7" s="54" t="s">
        <v>12</v>
      </c>
      <c r="O7" s="54" t="s">
        <v>12</v>
      </c>
      <c r="P7" s="54" t="s">
        <v>12</v>
      </c>
      <c r="Q7" s="54" t="s">
        <v>12</v>
      </c>
      <c r="R7" s="54" t="s">
        <v>12</v>
      </c>
      <c r="S7" s="54" t="s">
        <v>12</v>
      </c>
      <c r="T7" s="54" t="s">
        <v>12</v>
      </c>
      <c r="U7" s="54" t="s">
        <v>12</v>
      </c>
      <c r="V7" s="54" t="s">
        <v>12</v>
      </c>
      <c r="W7" s="54" t="s">
        <v>12</v>
      </c>
      <c r="X7" s="54" t="s">
        <v>12</v>
      </c>
      <c r="Y7" s="54" t="s">
        <v>12</v>
      </c>
      <c r="Z7" s="54" t="s">
        <v>12</v>
      </c>
      <c r="AA7" s="54" t="s">
        <v>12</v>
      </c>
      <c r="AB7" s="54" t="s">
        <v>12</v>
      </c>
      <c r="AC7" s="54" t="s">
        <v>12</v>
      </c>
      <c r="AD7" s="54" t="s">
        <v>12</v>
      </c>
      <c r="AE7" s="54" t="s">
        <v>12</v>
      </c>
      <c r="AF7" s="54" t="s">
        <v>12</v>
      </c>
      <c r="AG7" s="54" t="s">
        <v>12</v>
      </c>
      <c r="AH7" s="54" t="s">
        <v>12</v>
      </c>
      <c r="AI7" s="46">
        <v>30</v>
      </c>
      <c r="AJ7" s="51" t="s">
        <v>13</v>
      </c>
      <c r="AK7" s="53"/>
      <c r="AL7" s="53"/>
      <c r="AM7" s="53" t="s">
        <v>19</v>
      </c>
    </row>
    <row r="8" s="35" customFormat="1" ht="39" customHeight="1" spans="1:39">
      <c r="A8" s="43">
        <v>5</v>
      </c>
      <c r="B8" s="57" t="s">
        <v>20</v>
      </c>
      <c r="C8" s="45"/>
      <c r="D8" s="54" t="s">
        <v>12</v>
      </c>
      <c r="E8" s="54" t="s">
        <v>12</v>
      </c>
      <c r="F8" s="54" t="s">
        <v>12</v>
      </c>
      <c r="G8" s="54" t="s">
        <v>12</v>
      </c>
      <c r="H8" s="54" t="s">
        <v>12</v>
      </c>
      <c r="I8" s="54" t="s">
        <v>12</v>
      </c>
      <c r="J8" s="54" t="s">
        <v>12</v>
      </c>
      <c r="K8" s="54" t="s">
        <v>12</v>
      </c>
      <c r="L8" s="54" t="s">
        <v>12</v>
      </c>
      <c r="M8" s="54" t="s">
        <v>12</v>
      </c>
      <c r="N8" s="54" t="s">
        <v>12</v>
      </c>
      <c r="O8" s="54" t="s">
        <v>12</v>
      </c>
      <c r="P8" s="54" t="s">
        <v>12</v>
      </c>
      <c r="Q8" s="54" t="s">
        <v>12</v>
      </c>
      <c r="R8" s="54" t="s">
        <v>12</v>
      </c>
      <c r="S8" s="54" t="s">
        <v>12</v>
      </c>
      <c r="T8" s="54" t="s">
        <v>12</v>
      </c>
      <c r="U8" s="54" t="s">
        <v>12</v>
      </c>
      <c r="V8" s="54" t="s">
        <v>12</v>
      </c>
      <c r="W8" s="54" t="s">
        <v>12</v>
      </c>
      <c r="X8" s="54" t="s">
        <v>12</v>
      </c>
      <c r="Y8" s="54" t="s">
        <v>12</v>
      </c>
      <c r="Z8" s="54" t="s">
        <v>12</v>
      </c>
      <c r="AA8" s="54" t="s">
        <v>12</v>
      </c>
      <c r="AB8" s="54" t="s">
        <v>12</v>
      </c>
      <c r="AC8" s="54" t="s">
        <v>12</v>
      </c>
      <c r="AD8" s="54" t="s">
        <v>12</v>
      </c>
      <c r="AE8" s="54" t="s">
        <v>12</v>
      </c>
      <c r="AF8" s="54" t="s">
        <v>12</v>
      </c>
      <c r="AG8" s="54" t="s">
        <v>12</v>
      </c>
      <c r="AH8" s="54" t="s">
        <v>12</v>
      </c>
      <c r="AI8" s="46">
        <v>30</v>
      </c>
      <c r="AJ8" s="51" t="s">
        <v>13</v>
      </c>
      <c r="AK8" s="53"/>
      <c r="AL8" s="53"/>
      <c r="AM8" s="53" t="s">
        <v>21</v>
      </c>
    </row>
    <row r="9" s="35" customFormat="1" ht="39" customHeight="1" spans="1:39">
      <c r="A9" s="43">
        <v>6</v>
      </c>
      <c r="B9" s="19" t="s">
        <v>22</v>
      </c>
      <c r="C9" s="45"/>
      <c r="D9" s="54" t="s">
        <v>12</v>
      </c>
      <c r="E9" s="54" t="s">
        <v>12</v>
      </c>
      <c r="F9" s="54" t="s">
        <v>12</v>
      </c>
      <c r="G9" s="54" t="s">
        <v>12</v>
      </c>
      <c r="H9" s="54" t="s">
        <v>12</v>
      </c>
      <c r="I9" s="54" t="s">
        <v>12</v>
      </c>
      <c r="J9" s="54" t="s">
        <v>12</v>
      </c>
      <c r="K9" s="54" t="s">
        <v>12</v>
      </c>
      <c r="L9" s="54" t="s">
        <v>12</v>
      </c>
      <c r="M9" s="54" t="s">
        <v>12</v>
      </c>
      <c r="N9" s="54" t="s">
        <v>12</v>
      </c>
      <c r="O9" s="54" t="s">
        <v>12</v>
      </c>
      <c r="P9" s="54" t="s">
        <v>12</v>
      </c>
      <c r="Q9" s="54" t="s">
        <v>12</v>
      </c>
      <c r="R9" s="54" t="s">
        <v>12</v>
      </c>
      <c r="S9" s="54" t="s">
        <v>12</v>
      </c>
      <c r="T9" s="54" t="s">
        <v>12</v>
      </c>
      <c r="U9" s="54" t="s">
        <v>12</v>
      </c>
      <c r="V9" s="54" t="s">
        <v>12</v>
      </c>
      <c r="W9" s="54" t="s">
        <v>12</v>
      </c>
      <c r="X9" s="54" t="s">
        <v>12</v>
      </c>
      <c r="Y9" s="54" t="s">
        <v>12</v>
      </c>
      <c r="Z9" s="54" t="s">
        <v>12</v>
      </c>
      <c r="AA9" s="54" t="s">
        <v>12</v>
      </c>
      <c r="AB9" s="54" t="s">
        <v>12</v>
      </c>
      <c r="AC9" s="54" t="s">
        <v>12</v>
      </c>
      <c r="AD9" s="54" t="s">
        <v>12</v>
      </c>
      <c r="AE9" s="54" t="s">
        <v>12</v>
      </c>
      <c r="AF9" s="54" t="s">
        <v>12</v>
      </c>
      <c r="AG9" s="54" t="s">
        <v>12</v>
      </c>
      <c r="AH9" s="54" t="s">
        <v>12</v>
      </c>
      <c r="AI9" s="46">
        <v>30</v>
      </c>
      <c r="AJ9" s="51" t="s">
        <v>13</v>
      </c>
      <c r="AK9" s="53"/>
      <c r="AL9" s="53"/>
      <c r="AM9" s="53" t="s">
        <v>16</v>
      </c>
    </row>
    <row r="10" s="35" customFormat="1" ht="33" customHeight="1" spans="1:39">
      <c r="A10" s="58">
        <v>7</v>
      </c>
      <c r="B10" s="59" t="s">
        <v>23</v>
      </c>
      <c r="C10" s="45"/>
      <c r="D10" s="60" t="s">
        <v>12</v>
      </c>
      <c r="E10" s="60" t="s">
        <v>12</v>
      </c>
      <c r="F10" s="60" t="s">
        <v>12</v>
      </c>
      <c r="G10" s="60" t="s">
        <v>12</v>
      </c>
      <c r="H10" s="60" t="s">
        <v>12</v>
      </c>
      <c r="I10" s="60" t="s">
        <v>12</v>
      </c>
      <c r="J10" s="60" t="s">
        <v>12</v>
      </c>
      <c r="K10" s="60" t="s">
        <v>12</v>
      </c>
      <c r="L10" s="60" t="s">
        <v>12</v>
      </c>
      <c r="M10" s="60" t="s">
        <v>12</v>
      </c>
      <c r="N10" s="60" t="s">
        <v>12</v>
      </c>
      <c r="O10" s="60" t="s">
        <v>12</v>
      </c>
      <c r="P10" s="60" t="s">
        <v>12</v>
      </c>
      <c r="Q10" s="60" t="s">
        <v>12</v>
      </c>
      <c r="R10" s="60" t="s">
        <v>12</v>
      </c>
      <c r="S10" s="60" t="s">
        <v>12</v>
      </c>
      <c r="T10" s="60" t="s">
        <v>12</v>
      </c>
      <c r="U10" s="60" t="s">
        <v>12</v>
      </c>
      <c r="V10" s="60" t="s">
        <v>12</v>
      </c>
      <c r="W10" s="60" t="s">
        <v>12</v>
      </c>
      <c r="X10" s="60" t="s">
        <v>12</v>
      </c>
      <c r="Y10" s="60" t="s">
        <v>12</v>
      </c>
      <c r="Z10" s="60" t="s">
        <v>12</v>
      </c>
      <c r="AA10" s="60" t="s">
        <v>12</v>
      </c>
      <c r="AB10" s="60" t="s">
        <v>12</v>
      </c>
      <c r="AC10" s="60" t="s">
        <v>12</v>
      </c>
      <c r="AD10" s="60" t="s">
        <v>12</v>
      </c>
      <c r="AE10" s="60" t="s">
        <v>12</v>
      </c>
      <c r="AF10" s="60" t="s">
        <v>12</v>
      </c>
      <c r="AG10" s="60" t="s">
        <v>12</v>
      </c>
      <c r="AH10" s="60" t="s">
        <v>12</v>
      </c>
      <c r="AI10" s="61">
        <v>30</v>
      </c>
      <c r="AJ10" s="62" t="s">
        <v>13</v>
      </c>
      <c r="AK10" s="63"/>
      <c r="AL10" s="63"/>
      <c r="AM10" s="63" t="s">
        <v>24</v>
      </c>
    </row>
    <row r="11" s="35" customFormat="1" ht="33" customHeight="1" spans="1:39">
      <c r="A11" s="58">
        <v>8</v>
      </c>
      <c r="B11" s="64" t="s">
        <v>25</v>
      </c>
      <c r="C11" s="45"/>
      <c r="D11" s="60" t="s">
        <v>12</v>
      </c>
      <c r="E11" s="60" t="s">
        <v>12</v>
      </c>
      <c r="F11" s="60" t="s">
        <v>12</v>
      </c>
      <c r="G11" s="60" t="s">
        <v>12</v>
      </c>
      <c r="H11" s="60" t="s">
        <v>12</v>
      </c>
      <c r="I11" s="60" t="s">
        <v>12</v>
      </c>
      <c r="J11" s="60" t="s">
        <v>12</v>
      </c>
      <c r="K11" s="60" t="s">
        <v>12</v>
      </c>
      <c r="L11" s="60" t="s">
        <v>12</v>
      </c>
      <c r="M11" s="60" t="s">
        <v>12</v>
      </c>
      <c r="N11" s="60" t="s">
        <v>12</v>
      </c>
      <c r="O11" s="60" t="s">
        <v>12</v>
      </c>
      <c r="P11" s="60" t="s">
        <v>12</v>
      </c>
      <c r="Q11" s="60" t="s">
        <v>12</v>
      </c>
      <c r="R11" s="60" t="s">
        <v>12</v>
      </c>
      <c r="S11" s="60" t="s">
        <v>12</v>
      </c>
      <c r="T11" s="60" t="s">
        <v>12</v>
      </c>
      <c r="U11" s="60" t="s">
        <v>12</v>
      </c>
      <c r="V11" s="60" t="s">
        <v>12</v>
      </c>
      <c r="W11" s="60" t="s">
        <v>12</v>
      </c>
      <c r="X11" s="60" t="s">
        <v>12</v>
      </c>
      <c r="Y11" s="60" t="s">
        <v>12</v>
      </c>
      <c r="Z11" s="60" t="s">
        <v>12</v>
      </c>
      <c r="AA11" s="60" t="s">
        <v>12</v>
      </c>
      <c r="AB11" s="60" t="s">
        <v>12</v>
      </c>
      <c r="AC11" s="60" t="s">
        <v>12</v>
      </c>
      <c r="AD11" s="60" t="s">
        <v>12</v>
      </c>
      <c r="AE11" s="60" t="s">
        <v>12</v>
      </c>
      <c r="AF11" s="60" t="s">
        <v>12</v>
      </c>
      <c r="AG11" s="60" t="s">
        <v>12</v>
      </c>
      <c r="AH11" s="60" t="s">
        <v>12</v>
      </c>
      <c r="AI11" s="61">
        <v>30</v>
      </c>
      <c r="AJ11" s="62" t="s">
        <v>13</v>
      </c>
      <c r="AK11" s="63"/>
      <c r="AL11" s="63"/>
      <c r="AM11" s="63" t="s">
        <v>26</v>
      </c>
    </row>
    <row r="12" s="35" customFormat="1" ht="33" customHeight="1" spans="1:39">
      <c r="A12" s="65" t="s">
        <v>27</v>
      </c>
      <c r="H12" s="65"/>
      <c r="I12" s="65"/>
      <c r="J12" s="65"/>
      <c r="K12" s="65"/>
      <c r="L12" s="65"/>
      <c r="M12" s="65"/>
      <c r="R12" s="65"/>
      <c r="S12" s="65"/>
      <c r="T12" s="65"/>
      <c r="U12" s="65"/>
      <c r="V12" s="65"/>
      <c r="W12" s="65" t="s">
        <v>28</v>
      </c>
      <c r="AG12" s="65" t="s">
        <v>29</v>
      </c>
    </row>
    <row r="13" s="35" customFormat="1" ht="16.5" customHeight="1" spans="1:39">
      <c r="A13" s="41" t="s">
        <v>30</v>
      </c>
    </row>
  </sheetData>
  <mergeCells count="19">
    <mergeCell ref="A1:AM1"/>
    <mergeCell ref="A2:M2"/>
    <mergeCell ref="N2:Z2"/>
    <mergeCell ref="AA2:AJ2"/>
    <mergeCell ref="AK2:AM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A12:G12"/>
    <mergeCell ref="M12:Q12"/>
    <mergeCell ref="W12:AF12"/>
    <mergeCell ref="AG12:AM12"/>
    <mergeCell ref="A13:AM13"/>
  </mergeCells>
  <conditionalFormatting sqref="B4">
    <cfRule type="expression" dxfId="0" priority="22">
      <formula>AND(SUMPRODUCT(IFERROR(1*(($B$4&amp;"x")=(B4&amp;"x")),0))&gt;1,NOT(ISBLANK(B4)))</formula>
    </cfRule>
  </conditionalFormatting>
  <conditionalFormatting sqref="B6">
    <cfRule type="expression" dxfId="0" priority="32">
      <formula>AND(SUMPRODUCT(IFERROR(1*(($B$6&amp;"x")=(B6&amp;"x")),0))&gt;1,NOT(ISBLANK(B6)))</formula>
    </cfRule>
  </conditionalFormatting>
  <conditionalFormatting sqref="B9">
    <cfRule type="expression" dxfId="0" priority="12">
      <formula>AND(SUMPRODUCT(IFERROR(1*((#REF!&amp;"x")=(B9&amp;"x")),0))&gt;1,NOT(ISBLANK(B9)))</formula>
    </cfRule>
  </conditionalFormatting>
  <conditionalFormatting sqref="B10">
    <cfRule type="expression" dxfId="0" priority="1">
      <formula>AND(SUMPRODUCT(IFERROR(1*(($B$10&amp;"x")=(B10&amp;"x")),0))&gt;1,NOT(ISBLANK(B10)))</formula>
    </cfRule>
  </conditionalFormatting>
  <conditionalFormatting sqref="B11">
    <cfRule type="expression" dxfId="0" priority="2">
      <formula>AND(SUMPRODUCT(IFERROR(1*((#REF!&amp;"x")=(B11&amp;"x")),0))&gt;1,NOT(ISBLANK(B11)))</formula>
    </cfRule>
  </conditionalFormatting>
  <conditionalFormatting sqref="B7:B8">
    <cfRule type="expression" dxfId="0" priority="18">
      <formula>AND(SUMPRODUCT(IFERROR(1*(($B$7:$B$8&amp;"x")=(B7&amp;"x")),0))&gt;1,NOT(ISBLANK(B7)))</formula>
    </cfRule>
  </conditionalFormatting>
  <pageMargins left="0.196527777777778" right="0.0784722222222222" top="0.236111111111111" bottom="0.590277777777778" header="0.196527777777778" footer="0.236111111111111"/>
  <pageSetup paperSize="9" scale="95" fitToHeight="0" orientation="landscape"/>
  <headerFooter>
    <oddFooter>&amp;C第 &amp;P 页，共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zoomScale="85" zoomScaleNormal="85" workbookViewId="0">
      <selection activeCell="B10" sqref="B10"/>
    </sheetView>
  </sheetViews>
  <sheetFormatPr defaultColWidth="9" defaultRowHeight="15.6"/>
  <cols>
    <col min="1" max="1" width="4.75" style="1" customWidth="1"/>
    <col min="2" max="2" width="10.75" style="1" customWidth="1"/>
    <col min="3" max="3" width="16.75" style="1" customWidth="1"/>
    <col min="4" max="4" width="23.375" style="1" customWidth="1"/>
    <col min="5" max="5" width="34.025" style="1" customWidth="1"/>
    <col min="6" max="7" width="25.125" style="1" customWidth="1"/>
    <col min="8" max="8" width="10.2333333333333" style="3" customWidth="1"/>
    <col min="9" max="11" width="13.375" style="3" customWidth="1"/>
    <col min="12" max="12" width="18.75" style="1" customWidth="1"/>
    <col min="13" max="16384" width="9" style="1" customWidth="1"/>
  </cols>
  <sheetData>
    <row r="1" spans="1:12">
      <c r="A1" s="1" t="s">
        <v>31</v>
      </c>
    </row>
    <row r="2" s="1" customFormat="1" ht="45.95" customHeight="1" spans="1:12">
      <c r="A2" s="4" t="s">
        <v>32</v>
      </c>
    </row>
    <row r="3" s="1" customFormat="1" ht="18.95" customHeight="1" spans="1:12">
      <c r="A3" s="2" t="s">
        <v>33</v>
      </c>
      <c r="E3" s="2" t="s">
        <v>34</v>
      </c>
      <c r="I3" s="5"/>
      <c r="J3" s="5"/>
      <c r="K3" s="5"/>
      <c r="L3" s="2"/>
    </row>
    <row r="4" s="1" customFormat="1" ht="18" customHeight="1" spans="1:12">
      <c r="A4" s="6" t="s">
        <v>4</v>
      </c>
      <c r="B4" s="6" t="s">
        <v>35</v>
      </c>
      <c r="C4" s="6" t="s">
        <v>36</v>
      </c>
      <c r="D4" s="6" t="s">
        <v>37</v>
      </c>
      <c r="E4" s="6" t="s">
        <v>38</v>
      </c>
      <c r="F4" s="6" t="s">
        <v>39</v>
      </c>
      <c r="G4" s="7" t="s">
        <v>40</v>
      </c>
      <c r="H4" s="8" t="s">
        <v>41</v>
      </c>
      <c r="I4" s="8" t="s">
        <v>42</v>
      </c>
      <c r="J4" s="9" t="s">
        <v>43</v>
      </c>
      <c r="K4" s="9" t="s">
        <v>44</v>
      </c>
      <c r="L4" s="6" t="s">
        <v>45</v>
      </c>
    </row>
    <row r="5" s="2" customFormat="1" ht="30" customHeight="1" spans="1:12">
      <c r="A5" s="10"/>
      <c r="B5" s="10"/>
      <c r="C5" s="10"/>
      <c r="D5" s="10"/>
      <c r="E5" s="10"/>
      <c r="F5" s="10"/>
      <c r="G5" s="11" t="s">
        <v>46</v>
      </c>
      <c r="H5" s="10"/>
      <c r="I5" s="10"/>
      <c r="J5" s="10"/>
      <c r="K5" s="10"/>
      <c r="L5" s="10"/>
    </row>
    <row r="6" s="1" customFormat="1" ht="36" customHeight="1" spans="1:12">
      <c r="A6" s="12">
        <v>1</v>
      </c>
      <c r="B6" s="12" t="s">
        <v>11</v>
      </c>
      <c r="C6" s="13">
        <v>17380090737</v>
      </c>
      <c r="D6" s="13" t="s">
        <v>47</v>
      </c>
      <c r="E6" s="13" t="s">
        <v>48</v>
      </c>
      <c r="F6" s="13" t="s">
        <v>49</v>
      </c>
      <c r="G6" s="14" t="s">
        <v>50</v>
      </c>
      <c r="H6" s="15"/>
      <c r="I6" s="15"/>
      <c r="J6" s="16">
        <v>0</v>
      </c>
      <c r="K6" s="16">
        <f t="shared" ref="K6:K11" si="0">I6-J6</f>
        <v>0</v>
      </c>
      <c r="L6" s="17"/>
    </row>
    <row r="7" s="1" customFormat="1" ht="36" customHeight="1" spans="1:12">
      <c r="A7" s="12">
        <v>2</v>
      </c>
      <c r="B7" s="18" t="s">
        <v>15</v>
      </c>
      <c r="C7" s="13">
        <v>15528458623</v>
      </c>
      <c r="D7" s="13" t="s">
        <v>51</v>
      </c>
      <c r="E7" s="66" t="s">
        <v>52</v>
      </c>
      <c r="F7" s="13" t="s">
        <v>53</v>
      </c>
      <c r="G7" s="14" t="s">
        <v>54</v>
      </c>
      <c r="H7" s="15"/>
      <c r="I7" s="15"/>
      <c r="J7" s="16">
        <v>0</v>
      </c>
      <c r="K7" s="16">
        <f t="shared" si="0"/>
        <v>0</v>
      </c>
      <c r="L7" s="17"/>
    </row>
    <row r="8" s="1" customFormat="1" ht="36" customHeight="1" spans="1:12">
      <c r="A8" s="12">
        <v>3</v>
      </c>
      <c r="B8" s="19" t="s">
        <v>17</v>
      </c>
      <c r="C8" s="13">
        <v>13684376486</v>
      </c>
      <c r="D8" s="13" t="s">
        <v>55</v>
      </c>
      <c r="E8" s="13" t="s">
        <v>56</v>
      </c>
      <c r="F8" s="13" t="s">
        <v>57</v>
      </c>
      <c r="G8" s="13" t="s">
        <v>58</v>
      </c>
      <c r="H8" s="20"/>
      <c r="I8" s="20"/>
      <c r="J8" s="21">
        <v>0</v>
      </c>
      <c r="K8" s="16">
        <f t="shared" si="0"/>
        <v>0</v>
      </c>
      <c r="L8" s="7"/>
    </row>
    <row r="9" s="1" customFormat="1" ht="36" customHeight="1" spans="1:12">
      <c r="A9" s="12">
        <v>4</v>
      </c>
      <c r="B9" s="19" t="s">
        <v>18</v>
      </c>
      <c r="C9" s="13">
        <v>13388224337</v>
      </c>
      <c r="D9" s="13" t="s">
        <v>59</v>
      </c>
      <c r="E9" s="13" t="s">
        <v>60</v>
      </c>
      <c r="F9" s="13" t="s">
        <v>61</v>
      </c>
      <c r="G9" s="13" t="s">
        <v>62</v>
      </c>
      <c r="H9" s="20"/>
      <c r="I9" s="22"/>
      <c r="J9" s="22">
        <v>0</v>
      </c>
      <c r="K9" s="16">
        <f t="shared" si="0"/>
        <v>0</v>
      </c>
      <c r="L9" s="7"/>
    </row>
    <row r="10" s="1" customFormat="1" ht="36" customHeight="1" spans="1:12">
      <c r="A10" s="12">
        <v>5</v>
      </c>
      <c r="B10" s="23" t="s">
        <v>20</v>
      </c>
      <c r="C10" s="13">
        <v>15002887208</v>
      </c>
      <c r="D10" s="13" t="s">
        <v>63</v>
      </c>
      <c r="E10" s="13" t="s">
        <v>64</v>
      </c>
      <c r="F10" s="24" t="s">
        <v>65</v>
      </c>
      <c r="G10" s="24" t="s">
        <v>66</v>
      </c>
      <c r="H10" s="25"/>
      <c r="I10" s="22"/>
      <c r="J10" s="22">
        <v>0</v>
      </c>
      <c r="K10" s="16">
        <f t="shared" si="0"/>
        <v>0</v>
      </c>
      <c r="L10" s="7"/>
    </row>
    <row r="11" s="1" customFormat="1" ht="32" customHeight="1" spans="1:12">
      <c r="A11" s="12">
        <v>6</v>
      </c>
      <c r="B11" s="7" t="s">
        <v>67</v>
      </c>
      <c r="C11" s="7"/>
      <c r="D11" s="26" t="s">
        <v>68</v>
      </c>
      <c r="E11" s="7"/>
      <c r="F11" s="22" t="s">
        <v>69</v>
      </c>
      <c r="G11" s="27"/>
      <c r="H11" s="22"/>
      <c r="I11" s="22"/>
      <c r="J11" s="22"/>
      <c r="K11" s="16">
        <f t="shared" si="0"/>
        <v>0</v>
      </c>
      <c r="L11" s="7" t="s">
        <v>70</v>
      </c>
    </row>
    <row r="12" s="1" customFormat="1" ht="27.75" customHeight="1" spans="1:12">
      <c r="A12" s="12"/>
      <c r="B12" s="28" t="s">
        <v>71</v>
      </c>
      <c r="C12" s="28"/>
      <c r="D12" s="28" t="s">
        <v>72</v>
      </c>
      <c r="E12" s="28"/>
      <c r="F12" s="29" t="s">
        <v>73</v>
      </c>
      <c r="G12" s="30"/>
      <c r="H12" s="29"/>
      <c r="I12" s="30"/>
      <c r="J12" s="29"/>
      <c r="K12" s="29"/>
      <c r="L12" s="7" t="s">
        <v>73</v>
      </c>
    </row>
    <row r="13" s="1" customFormat="1" ht="27.75" customHeight="1" spans="1:12">
      <c r="A13" s="6"/>
      <c r="B13" s="31"/>
      <c r="C13" s="32"/>
      <c r="D13" s="32"/>
      <c r="E13" s="32"/>
      <c r="F13" s="32"/>
      <c r="G13" s="32"/>
      <c r="H13" s="33"/>
      <c r="I13" s="34"/>
      <c r="J13" s="33"/>
      <c r="K13" s="33"/>
      <c r="L13" s="11"/>
    </row>
    <row r="14" s="1" customFormat="1" ht="24" customHeight="1" spans="1:12">
      <c r="A14" s="2" t="s">
        <v>74</v>
      </c>
    </row>
    <row r="15" s="1" customFormat="1" spans="1:12">
      <c r="A15" s="2"/>
      <c r="B15" s="2"/>
      <c r="C15" s="2"/>
      <c r="D15" s="2"/>
      <c r="E15" s="2"/>
      <c r="F15" s="2"/>
      <c r="G15" s="2"/>
      <c r="H15" s="5"/>
      <c r="I15" s="5"/>
      <c r="J15" s="5"/>
      <c r="K15" s="5"/>
      <c r="L15" s="2"/>
    </row>
    <row r="16" s="1" customFormat="1" spans="1:12">
      <c r="A16" s="2"/>
      <c r="B16" s="2"/>
      <c r="C16" s="2"/>
      <c r="D16" s="2"/>
      <c r="E16" s="2"/>
      <c r="F16" s="2"/>
      <c r="G16" s="2"/>
      <c r="H16" s="5"/>
      <c r="I16" s="5"/>
      <c r="J16" s="5"/>
      <c r="K16" s="5"/>
      <c r="L16" s="2"/>
    </row>
  </sheetData>
  <autoFilter xmlns:etc="http://www.wps.cn/officeDocument/2017/etCustomData" ref="A1:L16" etc:filterBottomFollowUsedRange="0">
    <extLst/>
  </autoFilter>
  <mergeCells count="20">
    <mergeCell ref="A1:B1"/>
    <mergeCell ref="A2:L2"/>
    <mergeCell ref="A3:D3"/>
    <mergeCell ref="E3:H3"/>
    <mergeCell ref="F11:G11"/>
    <mergeCell ref="F12:G12"/>
    <mergeCell ref="H12:I12"/>
    <mergeCell ref="H13:I13"/>
    <mergeCell ref="A14:L14"/>
    <mergeCell ref="A4:A5"/>
    <mergeCell ref="B4:B5"/>
    <mergeCell ref="C4:C5"/>
    <mergeCell ref="D4:D5"/>
    <mergeCell ref="E4:E5"/>
    <mergeCell ref="F4:F5"/>
    <mergeCell ref="H4:H5"/>
    <mergeCell ref="I4:I5"/>
    <mergeCell ref="J4:J5"/>
    <mergeCell ref="K4:K5"/>
    <mergeCell ref="L4:L5"/>
  </mergeCells>
  <conditionalFormatting sqref="B8">
    <cfRule type="expression" dxfId="0" priority="34">
      <formula>AND(SUMPRODUCT(IFERROR(1*((#REF!&amp;"x")=(B8&amp;"x")),0))&gt;1,NOT(ISBLANK(B8)))</formula>
    </cfRule>
  </conditionalFormatting>
  <conditionalFormatting sqref="B6:B7">
    <cfRule type="expression" dxfId="0" priority="54">
      <formula>AND(SUMPRODUCT(IFERROR(1*(($B$6:$B$7&amp;"x")=(B6&amp;"x")),0))&gt;1,NOT(ISBLANK(B6)))</formula>
    </cfRule>
  </conditionalFormatting>
  <conditionalFormatting sqref="B9:B10">
    <cfRule type="expression" dxfId="0" priority="25">
      <formula>AND(SUMPRODUCT(IFERROR(1*((#REF!&amp;"x")=(B9&amp;"x")),0))&gt;1,NOT(ISBLANK(B9)))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考勤表</vt:lpstr>
      <vt:lpstr>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SDWM</dc:creator>
  <cp:lastModifiedBy>ぷ靜群</cp:lastModifiedBy>
  <dcterms:created xsi:type="dcterms:W3CDTF">2017-06-03T16:50:00Z</dcterms:created>
  <cp:lastPrinted>2023-04-01T00:43:00Z</cp:lastPrinted>
  <dcterms:modified xsi:type="dcterms:W3CDTF">2026-07-27T06:32:39Z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2052-12.1.0.26885</vt:lpwstr>
  </property>
  <property fmtid="{D5CDD505-2E9C-101B-9397-08002B2CF9AE}" pid="3" name="ICV">
    <vt:lpwstr>CA5F12810F3849048603011FA465308D_13</vt:lpwstr>
  </property>
  <property fmtid="{D5CDD505-2E9C-101B-9397-08002B2CF9AE}" pid="4" name="KSOReadingLayout">
    <vt:bool>false</vt:bool>
  </property>
  <property fmtid="{D5CDD505-2E9C-101B-9397-08002B2CF9AE}" pid="5" name="CalculationRule">
    <vt:i4>0</vt:i4>
  </property>
</Properties>
</file>