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600" firstSheet="0" activeTab="0" autoFilterDateGrouping="1"/>
  </bookViews>
  <sheets>
    <sheet xmlns:r="http://schemas.openxmlformats.org/officeDocument/2006/relationships" name="配品数据总说明" sheetId="1" state="visible" r:id="rId1"/>
    <sheet xmlns:r="http://schemas.openxmlformats.org/officeDocument/2006/relationships" name="超领-超供扣款汇总" sheetId="2" state="visible" r:id="rId2"/>
    <sheet xmlns:r="http://schemas.openxmlformats.org/officeDocument/2006/relationships" name="少领明细(可移交物业)" sheetId="3" state="visible" r:id="rId3"/>
    <sheet xmlns:r="http://schemas.openxmlformats.org/officeDocument/2006/relationships" name="超领明细(需扣款)" sheetId="4" state="visible" r:id="rId4"/>
  </sheets>
  <definedNames>
    <definedName name="_xlnm._FilterDatabase" localSheetId="0" hidden="1">'配品数据总说明'!$A$5:$M$65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宋体"/>
      <charset val="134"/>
      <b val="1"/>
      <color rgb="FF003366"/>
      <sz val="14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i val="1"/>
      <color rgb="FF666666"/>
      <sz val="10"/>
      <scheme val="minor"/>
    </font>
    <font>
      <name val="宋体"/>
      <charset val="134"/>
      <i val="1"/>
      <color rgb="FFFF0000"/>
      <sz val="10"/>
      <scheme val="minor"/>
    </font>
    <font>
      <name val="宋体"/>
      <charset val="134"/>
      <b val="1"/>
      <color rgb="FF003366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8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5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6" borderId="5" applyAlignment="1">
      <alignment vertical="center"/>
    </xf>
    <xf numFmtId="0" fontId="18" fillId="7" borderId="6" applyAlignment="1">
      <alignment vertical="center"/>
    </xf>
    <xf numFmtId="0" fontId="19" fillId="7" borderId="5" applyAlignment="1">
      <alignment vertical="center"/>
    </xf>
    <xf numFmtId="0" fontId="20" fillId="8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7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66"/>
  <sheetViews>
    <sheetView tabSelected="1" zoomScale="70" zoomScaleNormal="70" workbookViewId="0">
      <selection activeCell="L86" sqref="L86"/>
    </sheetView>
  </sheetViews>
  <sheetFormatPr baseColWidth="8" defaultColWidth="9" defaultRowHeight="14.4"/>
  <cols>
    <col width="16" customWidth="1" min="1" max="1"/>
    <col width="35" customWidth="1" min="2" max="2"/>
    <col width="25" customWidth="1" min="3" max="3"/>
    <col width="8" customWidth="1" min="4" max="4"/>
    <col hidden="1" width="16" customWidth="1" min="5" max="6"/>
    <col width="16" customWidth="1" min="7" max="8"/>
    <col width="12" customWidth="1" min="9" max="9"/>
    <col width="16" customWidth="1" min="10" max="10"/>
    <col width="50" customWidth="1" min="11" max="11"/>
    <col width="14" customWidth="1" min="12" max="12"/>
    <col width="45" customWidth="1" min="13" max="13"/>
    <col width="11.7777777777778" customWidth="1" min="14" max="14"/>
  </cols>
  <sheetData>
    <row r="1" ht="17.4" customHeight="1">
      <c r="A1" s="1" t="inlineStr">
        <is>
          <t>上海嘉定远香湖项目 — 物业配品配件数据说明</t>
        </is>
      </c>
    </row>
    <row r="2">
      <c r="A2" s="8" t="inlineStr">
        <is>
          <t>公式：配品(备件) + 合同清单量(合同量) = 应领总量(含损耗数量)  |  对比实际领用(四方单统计)</t>
        </is>
      </c>
    </row>
    <row r="3">
      <c r="A3" s="9" t="inlineStr">
        <is>
          <t>当 实际领用 &lt; 应领总量 → 少领(需向甲方说明)；当 实际领用 &gt; 应领总量 → 超领(需扣款)</t>
        </is>
      </c>
    </row>
    <row r="5" ht="36" customHeight="1">
      <c r="A5" s="2" t="inlineStr">
        <is>
          <t>材料类别</t>
        </is>
      </c>
      <c r="B5" s="2" t="inlineStr">
        <is>
          <t>材料名称</t>
        </is>
      </c>
      <c r="C5" s="2" t="inlineStr">
        <is>
          <t>规格型号</t>
        </is>
      </c>
      <c r="D5" s="2" t="inlineStr">
        <is>
          <t>单位</t>
        </is>
      </c>
      <c r="E5" s="2" t="inlineStr">
        <is>
          <t>合同清单量
(合同量)</t>
        </is>
      </c>
      <c r="F5" s="2" t="inlineStr">
        <is>
          <t>物业配品配件
(备件)</t>
        </is>
      </c>
      <c r="G5" s="2" t="inlineStr">
        <is>
          <t>应领总量=A+B
(含损耗)</t>
        </is>
      </c>
      <c r="H5" s="2" t="inlineStr">
        <is>
          <t>实际领用
(四方单统计)</t>
        </is>
      </c>
      <c r="I5" s="2" t="inlineStr">
        <is>
          <t>差额=C-D
(正=少领/负=超领)</t>
        </is>
      </c>
      <c r="J5" s="2" t="inlineStr">
        <is>
          <t>少领/超领金额
(含税)</t>
        </is>
      </c>
      <c r="K5" s="2" t="inlineStr">
        <is>
          <t>问题说明</t>
        </is>
      </c>
      <c r="L5" s="2" t="inlineStr">
        <is>
          <t>单价(含税)</t>
        </is>
      </c>
      <c r="M5" s="2" t="inlineStr">
        <is>
          <t>数量明细说明</t>
        </is>
      </c>
    </row>
    <row r="6">
      <c r="A6" s="10" t="inlineStr">
        <is>
          <t>灯具</t>
        </is>
      </c>
      <c r="B6" s="10" t="inlineStr">
        <is>
          <t>LED吸顶灯/户内及公区</t>
        </is>
      </c>
      <c r="C6" s="10" t="inlineStr">
        <is>
          <t>PAK417000</t>
        </is>
      </c>
      <c r="D6" s="10" t="inlineStr">
        <is>
          <t xml:space="preserve">个 </t>
        </is>
      </c>
      <c r="E6" s="10" t="n">
        <v>350</v>
      </c>
      <c r="F6" s="10" t="n">
        <v>0</v>
      </c>
      <c r="G6" s="10" t="n">
        <v>350</v>
      </c>
      <c r="H6" s="10" t="n">
        <v>343</v>
      </c>
      <c r="I6" s="10" t="n">
        <v>7</v>
      </c>
      <c r="J6" s="10" t="n">
        <v>229.6</v>
      </c>
      <c r="K6" s="10" t="inlineStr">
        <is>
          <t>少领</t>
        </is>
      </c>
      <c r="L6" s="4" t="n">
        <v>32.8</v>
      </c>
      <c r="M6" s="4" t="inlineStr">
        <is>
          <t xml:space="preserve">少领7个 ：应领350个  - 实际领用343个 </t>
        </is>
      </c>
      <c r="N6">
        <f>L6*I6</f>
        <v/>
      </c>
    </row>
    <row r="7" hidden="1">
      <c r="A7" s="11" t="inlineStr">
        <is>
          <t>灯具</t>
        </is>
      </c>
      <c r="B7" s="11" t="inlineStr">
        <is>
          <t>LED灯带/户内</t>
        </is>
      </c>
      <c r="C7" s="11" t="inlineStr">
        <is>
          <t>PAK544148</t>
        </is>
      </c>
      <c r="D7" s="11" t="inlineStr">
        <is>
          <t>m</t>
        </is>
      </c>
      <c r="E7" s="11" t="n">
        <v>9653.92997573852</v>
      </c>
      <c r="F7" s="11" t="n">
        <v>482.7</v>
      </c>
      <c r="G7" s="11" t="n">
        <v>10136.63</v>
      </c>
      <c r="H7" s="11" t="n">
        <v>10765</v>
      </c>
      <c r="I7" s="11" t="n">
        <v>-628.37</v>
      </c>
      <c r="J7" s="11" t="n">
        <v>10883.37</v>
      </c>
      <c r="K7" s="11" t="inlineStr">
        <is>
          <t>超领</t>
        </is>
      </c>
      <c r="L7" s="4" t="n">
        <v>17.32</v>
      </c>
      <c r="M7" s="4" t="inlineStr">
        <is>
          <t>超领628m：实际领用10765m - 应领10137m</t>
        </is>
      </c>
    </row>
    <row r="8" hidden="1">
      <c r="A8" s="3" t="inlineStr">
        <is>
          <t>灯具</t>
        </is>
      </c>
      <c r="B8" s="3" t="inlineStr">
        <is>
          <t>LED嵌入式筒灯/玄关、过道</t>
        </is>
      </c>
      <c r="C8" s="3" t="inlineStr">
        <is>
          <t>PAK560153（PAK560246）</t>
        </is>
      </c>
      <c r="D8" s="3" t="inlineStr">
        <is>
          <t xml:space="preserve">个 </t>
        </is>
      </c>
      <c r="E8" s="3" t="n">
        <v>446</v>
      </c>
      <c r="F8" s="3" t="n">
        <v>0</v>
      </c>
      <c r="G8" s="3" t="n">
        <v>446</v>
      </c>
      <c r="H8" s="3" t="n">
        <v>446</v>
      </c>
      <c r="I8" s="3" t="n">
        <v>0</v>
      </c>
      <c r="J8" s="3" t="n">
        <v>0</v>
      </c>
      <c r="K8" s="3" t="inlineStr">
        <is>
          <t>持平</t>
        </is>
      </c>
      <c r="L8" s="4" t="n">
        <v>9.51</v>
      </c>
      <c r="M8" s="4" t="inlineStr">
        <is>
          <t xml:space="preserve">持平：应领446个  = 实际领用446个 </t>
        </is>
      </c>
    </row>
    <row r="9" hidden="1">
      <c r="A9" s="11" t="inlineStr">
        <is>
          <t>灯具</t>
        </is>
      </c>
      <c r="B9" s="11" t="inlineStr">
        <is>
          <t>LED厨卫灯/厨房</t>
        </is>
      </c>
      <c r="C9" s="11" t="inlineStr">
        <is>
          <t>PAK563077</t>
        </is>
      </c>
      <c r="D9" s="11" t="inlineStr">
        <is>
          <t xml:space="preserve">个 </t>
        </is>
      </c>
      <c r="E9" s="11" t="n">
        <v>350</v>
      </c>
      <c r="F9" s="11" t="n">
        <v>0</v>
      </c>
      <c r="G9" s="11" t="n">
        <v>350</v>
      </c>
      <c r="H9" s="11" t="n">
        <v>352</v>
      </c>
      <c r="I9" s="11" t="n">
        <v>-2</v>
      </c>
      <c r="J9" s="11" t="n">
        <v>100.32</v>
      </c>
      <c r="K9" s="11" t="inlineStr">
        <is>
          <t>超领</t>
        </is>
      </c>
      <c r="L9" s="4" t="n">
        <v>50.16</v>
      </c>
      <c r="M9" s="4" t="inlineStr">
        <is>
          <t xml:space="preserve">超领2个 ：实际领用352个  - 应领350个 </t>
        </is>
      </c>
    </row>
    <row r="10" hidden="1">
      <c r="A10" s="11" t="inlineStr">
        <is>
          <t>灯具</t>
        </is>
      </c>
      <c r="B10" s="11" t="inlineStr">
        <is>
          <t>LED嵌入式射灯/客厅</t>
        </is>
      </c>
      <c r="C10" s="11" t="inlineStr">
        <is>
          <t>PAK565668</t>
        </is>
      </c>
      <c r="D10" s="11" t="inlineStr">
        <is>
          <t xml:space="preserve">个 </t>
        </is>
      </c>
      <c r="E10" s="11" t="n">
        <v>977</v>
      </c>
      <c r="F10" s="11" t="n">
        <v>0</v>
      </c>
      <c r="G10" s="11" t="n">
        <v>977</v>
      </c>
      <c r="H10" s="11" t="n">
        <v>1236</v>
      </c>
      <c r="I10" s="11" t="n">
        <v>-259</v>
      </c>
      <c r="J10" s="11" t="n">
        <v>2522.66</v>
      </c>
      <c r="K10" s="11" t="inlineStr">
        <is>
          <t>超领</t>
        </is>
      </c>
      <c r="L10" s="4" t="n">
        <v>9.74</v>
      </c>
      <c r="M10" s="4" t="inlineStr">
        <is>
          <t xml:space="preserve">超领259个 ：实际领用1236个  - 应领977个 </t>
        </is>
      </c>
    </row>
    <row r="11" hidden="1">
      <c r="A11" s="11" t="inlineStr">
        <is>
          <t>灯具</t>
        </is>
      </c>
      <c r="B11" s="11" t="inlineStr">
        <is>
          <t>LED吸顶灯/主卧、次卧、客厅</t>
        </is>
      </c>
      <c r="C11" s="11" t="inlineStr">
        <is>
          <t>PAK542936</t>
        </is>
      </c>
      <c r="D11" s="11" t="inlineStr">
        <is>
          <t xml:space="preserve">个 </t>
        </is>
      </c>
      <c r="E11" s="11" t="n">
        <v>1710</v>
      </c>
      <c r="F11" s="11" t="n">
        <v>0</v>
      </c>
      <c r="G11" s="11" t="n">
        <v>1710</v>
      </c>
      <c r="H11" s="11" t="n">
        <v>1920</v>
      </c>
      <c r="I11" s="11" t="n">
        <v>-210</v>
      </c>
      <c r="J11" s="11" t="n">
        <v>861</v>
      </c>
      <c r="K11" s="11" t="inlineStr">
        <is>
          <t>超领</t>
        </is>
      </c>
      <c r="L11" s="4" t="n">
        <v>4.1</v>
      </c>
      <c r="M11" s="4" t="inlineStr">
        <is>
          <t xml:space="preserve">超领210个 ：实际领用1920个  - 应领1710个 </t>
        </is>
      </c>
    </row>
    <row r="12" hidden="1">
      <c r="A12" s="11" t="inlineStr">
        <is>
          <t>灯具</t>
        </is>
      </c>
      <c r="B12" s="11" t="inlineStr">
        <is>
          <t>LED嵌入式感应筒灯/玄关</t>
        </is>
      </c>
      <c r="C12" s="11" t="inlineStr">
        <is>
          <t>PAK560452</t>
        </is>
      </c>
      <c r="D12" s="11" t="inlineStr">
        <is>
          <t xml:space="preserve">个 </t>
        </is>
      </c>
      <c r="E12" s="11" t="n">
        <v>350</v>
      </c>
      <c r="F12" s="11" t="n">
        <v>0</v>
      </c>
      <c r="G12" s="11" t="n">
        <v>350</v>
      </c>
      <c r="H12" s="11" t="n">
        <v>422</v>
      </c>
      <c r="I12" s="11" t="n">
        <v>-72</v>
      </c>
      <c r="J12" s="11" t="n">
        <v>1982.16</v>
      </c>
      <c r="K12" s="11" t="inlineStr">
        <is>
          <t>超领</t>
        </is>
      </c>
      <c r="L12" s="4" t="n">
        <v>27.53</v>
      </c>
      <c r="M12" s="4" t="inlineStr">
        <is>
          <t xml:space="preserve">超领72个 ：实际领用422个  - 应领350个 </t>
        </is>
      </c>
    </row>
    <row r="13" hidden="1">
      <c r="A13" s="11" t="inlineStr">
        <is>
          <t>灯具</t>
        </is>
      </c>
      <c r="B13" s="11" t="inlineStr">
        <is>
          <t>LED嵌入式筒灯/玄关、过道</t>
        </is>
      </c>
      <c r="C13" s="11" t="inlineStr">
        <is>
          <t>PAK560153（PAK560246）</t>
        </is>
      </c>
      <c r="D13" s="11" t="inlineStr">
        <is>
          <t xml:space="preserve">个 </t>
        </is>
      </c>
      <c r="E13" s="11" t="n">
        <v>1740</v>
      </c>
      <c r="F13" s="11" t="n">
        <v>0</v>
      </c>
      <c r="G13" s="11" t="n">
        <v>1740</v>
      </c>
      <c r="H13" s="11" t="n">
        <v>1807</v>
      </c>
      <c r="I13" s="11" t="n">
        <v>-67</v>
      </c>
      <c r="J13" s="11" t="n">
        <v>637.17</v>
      </c>
      <c r="K13" s="11" t="inlineStr">
        <is>
          <t>超领</t>
        </is>
      </c>
      <c r="L13" s="4" t="n">
        <v>9.51</v>
      </c>
      <c r="M13" s="4" t="inlineStr">
        <is>
          <t xml:space="preserve">超领67个 ：实际领用1807个  - 应领1740个 </t>
        </is>
      </c>
    </row>
    <row r="14" hidden="1">
      <c r="A14" s="3" t="inlineStr">
        <is>
          <t>灯具</t>
        </is>
      </c>
      <c r="B14" s="3" t="inlineStr">
        <is>
          <t>LED嵌入式筒灯/玄关、过道</t>
        </is>
      </c>
      <c r="C14" s="3" t="inlineStr">
        <is>
          <t>PAK560153（PAK560246）</t>
        </is>
      </c>
      <c r="D14" s="3" t="inlineStr">
        <is>
          <t xml:space="preserve">个 </t>
        </is>
      </c>
      <c r="E14" s="3" t="n">
        <v>680</v>
      </c>
      <c r="F14" s="3" t="n">
        <v>0</v>
      </c>
      <c r="G14" s="3" t="n">
        <v>680</v>
      </c>
      <c r="H14" s="3" t="n">
        <v>680</v>
      </c>
      <c r="I14" s="3" t="n">
        <v>0</v>
      </c>
      <c r="J14" s="3" t="n">
        <v>0</v>
      </c>
      <c r="K14" s="3" t="inlineStr">
        <is>
          <t>持平</t>
        </is>
      </c>
      <c r="L14" s="4" t="n">
        <v>9.51</v>
      </c>
      <c r="M14" s="4" t="inlineStr">
        <is>
          <t xml:space="preserve">持平：应领680个  = 实际领用680个 </t>
        </is>
      </c>
    </row>
    <row r="15">
      <c r="A15" s="10" t="inlineStr">
        <is>
          <t>灯具</t>
        </is>
      </c>
      <c r="B15" s="10" t="inlineStr">
        <is>
          <t>LED厨卫灯/卫生间</t>
        </is>
      </c>
      <c r="C15" s="10" t="inlineStr">
        <is>
          <t>PAK563055</t>
        </is>
      </c>
      <c r="D15" s="10" t="inlineStr">
        <is>
          <t xml:space="preserve">个 </t>
        </is>
      </c>
      <c r="E15" s="10" t="n">
        <v>30</v>
      </c>
      <c r="F15" s="10" t="n">
        <v>0</v>
      </c>
      <c r="G15" s="10" t="n">
        <v>30</v>
      </c>
      <c r="H15" s="10" t="n">
        <v>20</v>
      </c>
      <c r="I15" s="10" t="n">
        <v>10</v>
      </c>
      <c r="J15" s="10" t="n">
        <v>283.1</v>
      </c>
      <c r="K15" s="10" t="inlineStr">
        <is>
          <t>少领</t>
        </is>
      </c>
      <c r="L15" s="4" t="n">
        <v>28.31</v>
      </c>
      <c r="M15" s="4" t="inlineStr">
        <is>
          <t xml:space="preserve">少领10个 ：应领30个  - 实际领用20个 </t>
        </is>
      </c>
      <c r="N15">
        <f>L15*I15</f>
        <v/>
      </c>
    </row>
    <row r="16" hidden="1">
      <c r="A16" s="3" t="inlineStr">
        <is>
          <t>灯具</t>
        </is>
      </c>
      <c r="B16" s="3" t="inlineStr">
        <is>
          <t>18W吸顶灯</t>
        </is>
      </c>
      <c r="C16" s="3" t="inlineStr">
        <is>
          <t>PAK417010</t>
        </is>
      </c>
      <c r="D16" s="3" t="inlineStr">
        <is>
          <t xml:space="preserve">个 </t>
        </is>
      </c>
      <c r="E16" s="3" t="n">
        <v>75</v>
      </c>
      <c r="F16" s="3" t="n">
        <v>0</v>
      </c>
      <c r="G16" s="3" t="n">
        <v>75</v>
      </c>
      <c r="H16" s="3" t="n">
        <v>75</v>
      </c>
      <c r="I16" s="3" t="n">
        <v>0</v>
      </c>
      <c r="J16" s="3" t="n">
        <v>0</v>
      </c>
      <c r="K16" s="3" t="inlineStr">
        <is>
          <t>持平</t>
        </is>
      </c>
      <c r="L16" s="4" t="n">
        <v>59.8</v>
      </c>
      <c r="M16" s="4" t="inlineStr">
        <is>
          <t xml:space="preserve">持平：应领75个  = 实际领用75个 </t>
        </is>
      </c>
    </row>
    <row r="17" hidden="1">
      <c r="A17" s="3" t="inlineStr">
        <is>
          <t>灯具</t>
        </is>
      </c>
      <c r="B17" s="3" t="inlineStr">
        <is>
          <t>24W吸顶灯</t>
        </is>
      </c>
      <c r="C17" s="3" t="inlineStr">
        <is>
          <t>PAK417020</t>
        </is>
      </c>
      <c r="D17" s="3" t="inlineStr">
        <is>
          <t xml:space="preserve">个 </t>
        </is>
      </c>
      <c r="E17" s="3" t="n">
        <v>21</v>
      </c>
      <c r="F17" s="3" t="n">
        <v>0</v>
      </c>
      <c r="G17" s="3" t="n">
        <v>21</v>
      </c>
      <c r="H17" s="3" t="n">
        <v>21</v>
      </c>
      <c r="I17" s="3" t="n">
        <v>0</v>
      </c>
      <c r="J17" s="3" t="n">
        <v>0</v>
      </c>
      <c r="K17" s="3" t="inlineStr">
        <is>
          <t>持平</t>
        </is>
      </c>
      <c r="L17" s="4" t="n">
        <v>69.8</v>
      </c>
      <c r="M17" s="4" t="inlineStr">
        <is>
          <t xml:space="preserve">持平：应领21个  = 实际领用21个 </t>
        </is>
      </c>
    </row>
    <row r="18">
      <c r="A18" s="10" t="inlineStr">
        <is>
          <t>灯具</t>
        </is>
      </c>
      <c r="B18" s="10" t="inlineStr">
        <is>
          <t>灯带驱动/户内及公区</t>
        </is>
      </c>
      <c r="C18" s="10" t="inlineStr">
        <is>
          <t>PAK541023</t>
        </is>
      </c>
      <c r="D18" s="10" t="inlineStr">
        <is>
          <t xml:space="preserve">个 </t>
        </is>
      </c>
      <c r="E18" s="10" t="n">
        <v>1383</v>
      </c>
      <c r="F18" s="10" t="n">
        <v>0</v>
      </c>
      <c r="G18" s="10" t="n">
        <v>1383</v>
      </c>
      <c r="H18" s="10" t="n">
        <v>1353</v>
      </c>
      <c r="I18" s="10" t="n">
        <v>30</v>
      </c>
      <c r="J18" s="10" t="n">
        <v>2241</v>
      </c>
      <c r="K18" s="10" t="inlineStr">
        <is>
          <t>少领</t>
        </is>
      </c>
      <c r="L18" s="4" t="n">
        <v>74.7</v>
      </c>
      <c r="M18" s="4" t="inlineStr">
        <is>
          <t xml:space="preserve">少领30个 ：应领1383个  - 实际领用1353个 </t>
        </is>
      </c>
      <c r="N18">
        <f>L18*I18</f>
        <v/>
      </c>
    </row>
    <row r="19">
      <c r="A19" s="10" t="inlineStr">
        <is>
          <t>灯具</t>
        </is>
      </c>
      <c r="B19" s="10" t="inlineStr">
        <is>
          <t>LED线条灯/公区</t>
        </is>
      </c>
      <c r="C19" s="10" t="inlineStr">
        <is>
          <t>PAK-LED-DL24-10W-830-G8026</t>
        </is>
      </c>
      <c r="D19" s="10" t="inlineStr">
        <is>
          <t>米</t>
        </is>
      </c>
      <c r="E19" s="10" t="n">
        <v>1158.06526937576</v>
      </c>
      <c r="F19" s="10" t="n">
        <v>57.9</v>
      </c>
      <c r="G19" s="10" t="n">
        <v>1215.97</v>
      </c>
      <c r="H19" s="10" t="n">
        <v>928</v>
      </c>
      <c r="I19" s="10" t="n">
        <v>287.97</v>
      </c>
      <c r="J19" s="10" t="n">
        <v>21744.61</v>
      </c>
      <c r="K19" s="10" t="inlineStr">
        <is>
          <t>少领</t>
        </is>
      </c>
      <c r="L19" s="4" t="n">
        <v>121.26</v>
      </c>
      <c r="M19" s="4" t="inlineStr">
        <is>
          <t>少领288米：应领1216米 - 实际领用928米</t>
        </is>
      </c>
      <c r="N19">
        <f>L19*I19</f>
        <v/>
      </c>
    </row>
    <row r="20" hidden="1">
      <c r="A20" s="3" t="inlineStr">
        <is>
          <t>灯具</t>
        </is>
      </c>
      <c r="B20" s="3" t="inlineStr">
        <is>
          <t>LED磁吸格栅直射射灯/公区</t>
        </is>
      </c>
      <c r="C20" s="3" t="inlineStr">
        <is>
          <t>PAK564233</t>
        </is>
      </c>
      <c r="D20" s="3" t="inlineStr">
        <is>
          <t>套</t>
        </is>
      </c>
      <c r="E20" s="3" t="n">
        <v>2</v>
      </c>
      <c r="F20" s="3" t="n">
        <v>0</v>
      </c>
      <c r="G20" s="3" t="n">
        <v>2</v>
      </c>
      <c r="H20" s="3" t="n">
        <v>2</v>
      </c>
      <c r="I20" s="3" t="n">
        <v>0</v>
      </c>
      <c r="J20" s="3" t="n">
        <v>0</v>
      </c>
      <c r="K20" s="3" t="inlineStr">
        <is>
          <t>持平</t>
        </is>
      </c>
      <c r="L20" s="4" t="n">
        <v>204.4</v>
      </c>
      <c r="M20" s="4" t="inlineStr">
        <is>
          <t>持平：应领2套 = 实际领用2套</t>
        </is>
      </c>
    </row>
    <row r="21" hidden="1">
      <c r="A21" s="11" t="inlineStr">
        <is>
          <t>灯具</t>
        </is>
      </c>
      <c r="B21" s="11" t="inlineStr">
        <is>
          <t>LED磁吸格栅直射射灯/公区</t>
        </is>
      </c>
      <c r="C21" s="11" t="inlineStr">
        <is>
          <t>PAK564233</t>
        </is>
      </c>
      <c r="D21" s="11" t="inlineStr">
        <is>
          <t>套</t>
        </is>
      </c>
      <c r="E21" s="11" t="n">
        <v>68</v>
      </c>
      <c r="F21" s="11" t="n">
        <v>0</v>
      </c>
      <c r="G21" s="11" t="n">
        <v>68</v>
      </c>
      <c r="H21" s="11" t="n">
        <v>79</v>
      </c>
      <c r="I21" s="11" t="n">
        <v>-11</v>
      </c>
      <c r="J21" s="11" t="n">
        <v>2248.4</v>
      </c>
      <c r="K21" s="11" t="inlineStr">
        <is>
          <t>超领</t>
        </is>
      </c>
      <c r="L21" s="4" t="n">
        <v>204.4</v>
      </c>
      <c r="M21" s="4" t="inlineStr">
        <is>
          <t>超领11套：实际领用79套 - 应领68套</t>
        </is>
      </c>
    </row>
    <row r="22" hidden="1">
      <c r="A22" s="3" t="inlineStr">
        <is>
          <t>灯具</t>
        </is>
      </c>
      <c r="B22" s="3" t="inlineStr">
        <is>
          <t>LED嵌入式格栅射灯/公区</t>
        </is>
      </c>
      <c r="C22" s="3" t="inlineStr">
        <is>
          <t>PAK564231</t>
        </is>
      </c>
      <c r="D22" s="3" t="inlineStr">
        <is>
          <t>套</t>
        </is>
      </c>
      <c r="E22" s="3" t="n">
        <v>8</v>
      </c>
      <c r="F22" s="3" t="n">
        <v>0</v>
      </c>
      <c r="G22" s="3" t="n">
        <v>8</v>
      </c>
      <c r="H22" s="3" t="n">
        <v>8</v>
      </c>
      <c r="I22" s="3" t="n">
        <v>0</v>
      </c>
      <c r="J22" s="3" t="n">
        <v>0</v>
      </c>
      <c r="K22" s="3" t="inlineStr">
        <is>
          <t>持平</t>
        </is>
      </c>
      <c r="L22" s="4" t="n">
        <v>268.49</v>
      </c>
      <c r="M22" s="4" t="inlineStr">
        <is>
          <t>持平：应领8套 = 实际领用8套</t>
        </is>
      </c>
    </row>
    <row r="23" hidden="1">
      <c r="A23" s="11" t="inlineStr">
        <is>
          <t>灯具</t>
        </is>
      </c>
      <c r="B23" s="11" t="inlineStr">
        <is>
          <t>LED嵌入式格栅射灯/公区</t>
        </is>
      </c>
      <c r="C23" s="11" t="inlineStr">
        <is>
          <t>PAK564231</t>
        </is>
      </c>
      <c r="D23" s="11" t="inlineStr">
        <is>
          <t>套</t>
        </is>
      </c>
      <c r="E23" s="11" t="n">
        <v>50</v>
      </c>
      <c r="F23" s="11" t="n">
        <v>0</v>
      </c>
      <c r="G23" s="11" t="n">
        <v>50</v>
      </c>
      <c r="H23" s="11" t="n">
        <v>78</v>
      </c>
      <c r="I23" s="11" t="n">
        <v>-28</v>
      </c>
      <c r="J23" s="11" t="n">
        <v>7517.72</v>
      </c>
      <c r="K23" s="11" t="inlineStr">
        <is>
          <t>超领</t>
        </is>
      </c>
      <c r="L23" s="4" t="n">
        <v>268.49</v>
      </c>
      <c r="M23" s="4" t="inlineStr">
        <is>
          <t>超领28套：实际领用78套 - 应领50套</t>
        </is>
      </c>
    </row>
    <row r="24" hidden="1">
      <c r="A24" s="3" t="inlineStr">
        <is>
          <t>灯具</t>
        </is>
      </c>
      <c r="B24" s="3" t="inlineStr">
        <is>
          <t>LED嵌入式筒灯/玄关、过道</t>
        </is>
      </c>
      <c r="C24" s="3" t="inlineStr">
        <is>
          <t>PAK560153（PAK560246）</t>
        </is>
      </c>
      <c r="D24" s="3" t="inlineStr">
        <is>
          <t xml:space="preserve">个 </t>
        </is>
      </c>
      <c r="E24" s="3" t="n">
        <v>593</v>
      </c>
      <c r="F24" s="3" t="n">
        <v>0</v>
      </c>
      <c r="G24" s="3" t="n">
        <v>593</v>
      </c>
      <c r="H24" s="3" t="n">
        <v>593</v>
      </c>
      <c r="I24" s="3" t="n">
        <v>0</v>
      </c>
      <c r="J24" s="3" t="n">
        <v>0</v>
      </c>
      <c r="K24" s="3" t="inlineStr">
        <is>
          <t>持平</t>
        </is>
      </c>
      <c r="L24" s="4" t="n">
        <v>9.51</v>
      </c>
      <c r="M24" s="4" t="inlineStr">
        <is>
          <t xml:space="preserve">持平：应领593个  = 实际领用593个 </t>
        </is>
      </c>
    </row>
    <row r="25" hidden="1">
      <c r="A25" s="11" t="inlineStr">
        <is>
          <t>灯具</t>
        </is>
      </c>
      <c r="B25" s="11" t="inlineStr">
        <is>
          <t>磁性导轨/公区</t>
        </is>
      </c>
      <c r="C25" s="11" t="inlineStr">
        <is>
          <t>PAK-LED-L501W-30W-30-D0F</t>
        </is>
      </c>
      <c r="D25" s="11" t="inlineStr">
        <is>
          <t>m</t>
        </is>
      </c>
      <c r="E25" s="11" t="n">
        <v>92.4399986267089</v>
      </c>
      <c r="F25" s="11" t="n">
        <v>-0.44</v>
      </c>
      <c r="G25" s="11" t="n">
        <v>92</v>
      </c>
      <c r="H25" s="11" t="n">
        <v>227</v>
      </c>
      <c r="I25" s="11" t="n">
        <v>-135</v>
      </c>
      <c r="J25" s="11" t="n">
        <v>17537.85</v>
      </c>
      <c r="K25" s="11" t="inlineStr">
        <is>
          <t>超领</t>
        </is>
      </c>
      <c r="L25" s="4" t="n">
        <v>129.91</v>
      </c>
      <c r="M25" s="4" t="inlineStr">
        <is>
          <t>超领135m：实际领用227m - 应领92m</t>
        </is>
      </c>
    </row>
    <row r="26" hidden="1">
      <c r="A26" s="3" t="inlineStr">
        <is>
          <t>灯具</t>
        </is>
      </c>
      <c r="B26" s="3" t="inlineStr">
        <is>
          <t>LED嵌入式筒灯/玄关、过道</t>
        </is>
      </c>
      <c r="C26" s="3" t="inlineStr">
        <is>
          <t>PAK560153（PAK560246）</t>
        </is>
      </c>
      <c r="D26" s="3" t="inlineStr">
        <is>
          <t xml:space="preserve">个 </t>
        </is>
      </c>
      <c r="E26" s="3" t="n">
        <v>164</v>
      </c>
      <c r="F26" s="3" t="n">
        <v>0</v>
      </c>
      <c r="G26" s="3" t="n">
        <v>164</v>
      </c>
      <c r="H26" s="3" t="n">
        <v>164</v>
      </c>
      <c r="I26" s="3" t="n">
        <v>0</v>
      </c>
      <c r="J26" s="3" t="n">
        <v>0</v>
      </c>
      <c r="K26" s="3" t="inlineStr">
        <is>
          <t>持平</t>
        </is>
      </c>
      <c r="L26" s="4" t="n">
        <v>9.51</v>
      </c>
      <c r="M26" s="4" t="inlineStr">
        <is>
          <t xml:space="preserve">持平：应领164个  = 实际领用164个 </t>
        </is>
      </c>
    </row>
    <row r="27" hidden="1">
      <c r="A27" s="11" t="inlineStr">
        <is>
          <t>灯具</t>
        </is>
      </c>
      <c r="B27" s="11" t="inlineStr">
        <is>
          <t>LED明装射灯 10W4000K24度圆形白色</t>
        </is>
      </c>
      <c r="C27" s="11" t="inlineStr">
        <is>
          <t>PAK415091</t>
        </is>
      </c>
      <c r="D27" s="11" t="inlineStr">
        <is>
          <t>套</t>
        </is>
      </c>
      <c r="E27" s="11" t="n">
        <v>20</v>
      </c>
      <c r="F27" s="11" t="n">
        <v>0</v>
      </c>
      <c r="G27" s="11" t="n">
        <v>20</v>
      </c>
      <c r="H27" s="11" t="n">
        <v>21</v>
      </c>
      <c r="I27" s="11" t="n">
        <v>-1</v>
      </c>
      <c r="J27" s="11" t="n">
        <v>173.22</v>
      </c>
      <c r="K27" s="11" t="inlineStr">
        <is>
          <t>超领</t>
        </is>
      </c>
      <c r="L27" s="4" t="n">
        <v>173.22</v>
      </c>
      <c r="M27" s="4" t="inlineStr">
        <is>
          <t>超领1套：实际领用21套 - 应领20套</t>
        </is>
      </c>
    </row>
    <row r="28">
      <c r="A28" s="10" t="inlineStr">
        <is>
          <t>灯具</t>
        </is>
      </c>
      <c r="B28" s="10" t="inlineStr">
        <is>
          <t>驱动电源/公区</t>
        </is>
      </c>
      <c r="C28" s="10" t="inlineStr">
        <is>
          <t>PAK070109</t>
        </is>
      </c>
      <c r="D28" s="10" t="inlineStr">
        <is>
          <t>个</t>
        </is>
      </c>
      <c r="E28" s="10" t="n">
        <v>45</v>
      </c>
      <c r="F28" s="10" t="n">
        <v>0</v>
      </c>
      <c r="G28" s="10" t="n">
        <v>45</v>
      </c>
      <c r="H28" s="10" t="n">
        <v>39</v>
      </c>
      <c r="I28" s="10" t="n">
        <v>6</v>
      </c>
      <c r="J28" s="10" t="n">
        <v>1132.38</v>
      </c>
      <c r="K28" s="10" t="inlineStr">
        <is>
          <t>少领</t>
        </is>
      </c>
      <c r="L28" s="4" t="n">
        <v>188.73</v>
      </c>
      <c r="M28" s="4" t="inlineStr">
        <is>
          <t>少领6个：应领45个 - 实际领用39个</t>
        </is>
      </c>
      <c r="N28">
        <f>L28*I28</f>
        <v/>
      </c>
    </row>
    <row r="29" hidden="1">
      <c r="A29" s="11" t="inlineStr">
        <is>
          <t>灯具</t>
        </is>
      </c>
      <c r="B29" s="11" t="inlineStr">
        <is>
          <t>三线导轨 白色 吸顶式</t>
        </is>
      </c>
      <c r="C29" s="11" t="inlineStr">
        <is>
          <t>PAK-LED-JD-L301W-20W-30-C1B</t>
        </is>
      </c>
      <c r="D29" s="11" t="inlineStr">
        <is>
          <t>米</t>
        </is>
      </c>
      <c r="E29" s="11" t="n">
        <v>0</v>
      </c>
      <c r="F29" s="11" t="n">
        <v>0</v>
      </c>
      <c r="G29" s="11" t="n">
        <v>0</v>
      </c>
      <c r="H29" s="11" t="n">
        <v>10</v>
      </c>
      <c r="I29" s="11" t="n">
        <v>-10</v>
      </c>
      <c r="J29" s="11" t="n">
        <v>384.4</v>
      </c>
      <c r="K29" s="11" t="inlineStr">
        <is>
          <t>超领</t>
        </is>
      </c>
      <c r="L29" s="4" t="n">
        <v>38.44</v>
      </c>
      <c r="M29" s="4" t="inlineStr">
        <is>
          <t>超领10米：实际领用10米 - 应领0米</t>
        </is>
      </c>
    </row>
    <row r="30" hidden="1">
      <c r="A30" s="11" t="inlineStr">
        <is>
          <t>灯具</t>
        </is>
      </c>
      <c r="B30" s="11" t="inlineStr">
        <is>
          <t>LED射灯 7W3500K25度75mm白圆边</t>
        </is>
      </c>
      <c r="C30" s="11" t="inlineStr">
        <is>
          <t>PAK-LED-S622-3WB3-30-W</t>
        </is>
      </c>
      <c r="D30" s="11" t="inlineStr">
        <is>
          <t>个</t>
        </is>
      </c>
      <c r="E30" s="11" t="n">
        <v>0</v>
      </c>
      <c r="F30" s="11" t="n">
        <v>0</v>
      </c>
      <c r="G30" s="11" t="n">
        <v>0</v>
      </c>
      <c r="H30" s="11" t="n">
        <v>8</v>
      </c>
      <c r="I30" s="11" t="n">
        <v>-8</v>
      </c>
      <c r="J30" s="11" t="n">
        <v>658.24</v>
      </c>
      <c r="K30" s="11" t="inlineStr">
        <is>
          <t>超领</t>
        </is>
      </c>
      <c r="L30" s="4" t="n">
        <v>82.28</v>
      </c>
      <c r="M30" s="4" t="inlineStr">
        <is>
          <t>超领8个：实际领用8个 - 应领0个</t>
        </is>
      </c>
    </row>
    <row r="31" hidden="1">
      <c r="A31" s="3" t="inlineStr">
        <is>
          <t>灯具</t>
        </is>
      </c>
      <c r="B31" s="3" t="inlineStr">
        <is>
          <t>LED线条灯/公区</t>
        </is>
      </c>
      <c r="C31" s="3" t="inlineStr">
        <is>
          <t>PAK-LED-JD-L101W-30W-30-D0E+PAK-LED-DL24-10W-830</t>
        </is>
      </c>
      <c r="D31" s="3" t="inlineStr">
        <is>
          <t>米</t>
        </is>
      </c>
      <c r="E31" s="3" t="n">
        <v>123.809523809524</v>
      </c>
      <c r="F31" s="3" t="n">
        <v>6.19</v>
      </c>
      <c r="G31" s="3" t="n">
        <v>130</v>
      </c>
      <c r="H31" s="3" t="n">
        <v>130</v>
      </c>
      <c r="I31" s="3" t="n">
        <v>0</v>
      </c>
      <c r="J31" s="3" t="n">
        <v>0</v>
      </c>
      <c r="K31" s="3" t="inlineStr">
        <is>
          <t>持平</t>
        </is>
      </c>
      <c r="L31" s="4" t="n">
        <v>121.26</v>
      </c>
      <c r="M31" s="4" t="inlineStr">
        <is>
          <t>持平：应领130米 = 实际领用130米</t>
        </is>
      </c>
    </row>
    <row r="32" hidden="1">
      <c r="A32" s="3" t="inlineStr">
        <is>
          <t>灯具</t>
        </is>
      </c>
      <c r="B32" s="3" t="inlineStr">
        <is>
          <t>LED线条灯/公区</t>
        </is>
      </c>
      <c r="C32" s="3" t="inlineStr">
        <is>
          <t>PAK-LED-JD-L101W-30W-30-D0E</t>
        </is>
      </c>
      <c r="D32" s="3" t="inlineStr">
        <is>
          <t>米</t>
        </is>
      </c>
      <c r="E32" s="3" t="n">
        <v>38.0952380952381</v>
      </c>
      <c r="F32" s="3" t="n">
        <v>1.9</v>
      </c>
      <c r="G32" s="3" t="n">
        <v>40</v>
      </c>
      <c r="H32" s="3" t="n">
        <v>40</v>
      </c>
      <c r="I32" s="3" t="n">
        <v>0</v>
      </c>
      <c r="J32" s="3" t="n">
        <v>0</v>
      </c>
      <c r="K32" s="3" t="inlineStr">
        <is>
          <t>持平</t>
        </is>
      </c>
      <c r="L32" s="4" t="n">
        <v>121.26</v>
      </c>
      <c r="M32" s="4" t="inlineStr">
        <is>
          <t>持平：应领40米 = 实际领用40米</t>
        </is>
      </c>
    </row>
    <row r="33" hidden="1">
      <c r="A33" s="11" t="inlineStr">
        <is>
          <t>开关插座面板</t>
        </is>
      </c>
      <c r="B33" s="11" t="inlineStr">
        <is>
          <t>感应地脚灯</t>
        </is>
      </c>
      <c r="C33" s="11" t="inlineStr"/>
      <c r="D33" s="11" t="inlineStr">
        <is>
          <t>个</t>
        </is>
      </c>
      <c r="E33" s="11" t="n">
        <v>690</v>
      </c>
      <c r="F33" s="11" t="n">
        <v>0</v>
      </c>
      <c r="G33" s="11" t="n">
        <v>690</v>
      </c>
      <c r="H33" s="11" t="n">
        <v>1089</v>
      </c>
      <c r="I33" s="11" t="n">
        <v>-399</v>
      </c>
      <c r="J33" s="11" t="n">
        <v>17128.55</v>
      </c>
      <c r="K33" s="11" t="inlineStr">
        <is>
          <t>超领</t>
        </is>
      </c>
      <c r="L33" s="4" t="n">
        <v>42.9287</v>
      </c>
      <c r="M33" s="4" t="inlineStr">
        <is>
          <t>超领399个：实际领用1089个 - 应领690个</t>
        </is>
      </c>
    </row>
    <row r="34" hidden="1">
      <c r="A34" s="11" t="inlineStr">
        <is>
          <t>开关插座面板</t>
        </is>
      </c>
      <c r="B34" s="11" t="inlineStr">
        <is>
          <t>一位单极开关</t>
        </is>
      </c>
      <c r="C34" s="11" t="inlineStr"/>
      <c r="D34" s="11" t="inlineStr">
        <is>
          <t>个</t>
        </is>
      </c>
      <c r="E34" s="11" t="n">
        <v>577</v>
      </c>
      <c r="F34" s="11" t="n">
        <v>0</v>
      </c>
      <c r="G34" s="11" t="n">
        <v>577</v>
      </c>
      <c r="H34" s="11" t="n">
        <v>868</v>
      </c>
      <c r="I34" s="11" t="n">
        <v>-291</v>
      </c>
      <c r="J34" s="11" t="n">
        <v>3238.98</v>
      </c>
      <c r="K34" s="11" t="inlineStr">
        <is>
          <t>超领</t>
        </is>
      </c>
      <c r="L34" s="4" t="n">
        <v>11.1305</v>
      </c>
      <c r="M34" s="4" t="inlineStr">
        <is>
          <t>超领291个：实际领用868个 - 应领577个</t>
        </is>
      </c>
    </row>
    <row r="35" hidden="1">
      <c r="A35" s="11" t="inlineStr">
        <is>
          <t>开关插座面板</t>
        </is>
      </c>
      <c r="B35" s="11" t="inlineStr">
        <is>
          <t>一位双控开关</t>
        </is>
      </c>
      <c r="C35" s="11" t="inlineStr"/>
      <c r="D35" s="11" t="inlineStr">
        <is>
          <t>个</t>
        </is>
      </c>
      <c r="E35" s="11" t="n">
        <v>1370</v>
      </c>
      <c r="F35" s="11" t="n">
        <v>0</v>
      </c>
      <c r="G35" s="11" t="n">
        <v>1370</v>
      </c>
      <c r="H35" s="11" t="n">
        <v>1418</v>
      </c>
      <c r="I35" s="11" t="n">
        <v>-48</v>
      </c>
      <c r="J35" s="11" t="n">
        <v>619.42</v>
      </c>
      <c r="K35" s="11" t="inlineStr">
        <is>
          <t>超领</t>
        </is>
      </c>
      <c r="L35" s="4" t="n">
        <v>12.9046</v>
      </c>
      <c r="M35" s="4" t="inlineStr">
        <is>
          <t>超领48个：实际领用1418个 - 应领1370个</t>
        </is>
      </c>
    </row>
    <row r="36" hidden="1">
      <c r="A36" s="11" t="inlineStr">
        <is>
          <t>开关插座面板</t>
        </is>
      </c>
      <c r="B36" s="11" t="inlineStr">
        <is>
          <t>二位单极开关</t>
        </is>
      </c>
      <c r="C36" s="11" t="inlineStr"/>
      <c r="D36" s="11" t="inlineStr">
        <is>
          <t>个</t>
        </is>
      </c>
      <c r="E36" s="11" t="n">
        <v>1385</v>
      </c>
      <c r="F36" s="11" t="n">
        <v>0</v>
      </c>
      <c r="G36" s="11" t="n">
        <v>1385</v>
      </c>
      <c r="H36" s="11" t="n">
        <v>1436</v>
      </c>
      <c r="I36" s="11" t="n">
        <v>-51</v>
      </c>
      <c r="J36" s="11" t="n">
        <v>782.62</v>
      </c>
      <c r="K36" s="11" t="inlineStr">
        <is>
          <t>超领</t>
        </is>
      </c>
      <c r="L36" s="4" t="n">
        <v>15.3454</v>
      </c>
      <c r="M36" s="4" t="inlineStr">
        <is>
          <t>超领51个：实际领用1436个 - 应领1385个</t>
        </is>
      </c>
    </row>
    <row r="37" hidden="1">
      <c r="A37" s="11" t="inlineStr">
        <is>
          <t>开关插座面板</t>
        </is>
      </c>
      <c r="B37" s="11" t="inlineStr">
        <is>
          <t>三位双控开关</t>
        </is>
      </c>
      <c r="C37" s="11" t="inlineStr"/>
      <c r="D37" s="11" t="inlineStr">
        <is>
          <t>个</t>
        </is>
      </c>
      <c r="E37" s="11" t="n">
        <v>1390</v>
      </c>
      <c r="F37" s="11" t="n">
        <v>0</v>
      </c>
      <c r="G37" s="11" t="n">
        <v>1390</v>
      </c>
      <c r="H37" s="11" t="n">
        <v>1440</v>
      </c>
      <c r="I37" s="11" t="n">
        <v>-50</v>
      </c>
      <c r="J37" s="11" t="n">
        <v>1127.18</v>
      </c>
      <c r="K37" s="11" t="inlineStr">
        <is>
          <t>超领</t>
        </is>
      </c>
      <c r="L37" s="4" t="n">
        <v>22.5435</v>
      </c>
      <c r="M37" s="4" t="inlineStr">
        <is>
          <t>超领50个：实际领用1440个 - 应领1390个</t>
        </is>
      </c>
    </row>
    <row r="38" hidden="1">
      <c r="A38" s="11" t="inlineStr">
        <is>
          <t>开关插座面板</t>
        </is>
      </c>
      <c r="B38" s="11" t="inlineStr">
        <is>
          <t>三孔插座</t>
        </is>
      </c>
      <c r="C38" s="11" t="inlineStr"/>
      <c r="D38" s="11" t="inlineStr">
        <is>
          <t>个</t>
        </is>
      </c>
      <c r="E38" s="11" t="n">
        <v>1030</v>
      </c>
      <c r="F38" s="11" t="n">
        <v>0</v>
      </c>
      <c r="G38" s="11" t="n">
        <v>1030</v>
      </c>
      <c r="H38" s="11" t="n">
        <v>1072</v>
      </c>
      <c r="I38" s="11" t="n">
        <v>-42</v>
      </c>
      <c r="J38" s="11" t="n">
        <v>495.48</v>
      </c>
      <c r="K38" s="11" t="inlineStr">
        <is>
          <t>超领</t>
        </is>
      </c>
      <c r="L38" s="4" t="n">
        <v>11.7972</v>
      </c>
      <c r="M38" s="4" t="inlineStr">
        <is>
          <t>超领42个：实际领用1072个 - 应领1030个</t>
        </is>
      </c>
    </row>
    <row r="39" hidden="1">
      <c r="A39" s="3" t="inlineStr">
        <is>
          <t>开关插座面板</t>
        </is>
      </c>
      <c r="B39" s="3" t="inlineStr">
        <is>
          <t>三孔插座（带开关）</t>
        </is>
      </c>
      <c r="C39" s="3" t="inlineStr"/>
      <c r="D39" s="3" t="inlineStr">
        <is>
          <t>个</t>
        </is>
      </c>
      <c r="E39" s="3" t="n">
        <v>1020</v>
      </c>
      <c r="F39" s="3" t="n">
        <v>0</v>
      </c>
      <c r="G39" s="3" t="n">
        <v>1020</v>
      </c>
      <c r="H39" s="3" t="n">
        <v>1020</v>
      </c>
      <c r="I39" s="3" t="n">
        <v>0</v>
      </c>
      <c r="J39" s="3" t="n">
        <v>0</v>
      </c>
      <c r="K39" s="3" t="inlineStr">
        <is>
          <t>持平</t>
        </is>
      </c>
      <c r="L39" s="4" t="n">
        <v>15.6731</v>
      </c>
      <c r="M39" s="4" t="inlineStr">
        <is>
          <t>持平：应领1020个 = 实际领用1020个</t>
        </is>
      </c>
    </row>
    <row r="40" hidden="1">
      <c r="A40" s="11" t="inlineStr">
        <is>
          <t>开关插座面板</t>
        </is>
      </c>
      <c r="B40" s="11" t="inlineStr">
        <is>
          <t>16A带开关三扁插座</t>
        </is>
      </c>
      <c r="C40" s="11" t="inlineStr"/>
      <c r="D40" s="11" t="inlineStr">
        <is>
          <t>个</t>
        </is>
      </c>
      <c r="E40" s="11" t="n">
        <v>0</v>
      </c>
      <c r="F40" s="11" t="n">
        <v>0</v>
      </c>
      <c r="G40" s="11" t="n">
        <v>0</v>
      </c>
      <c r="H40" s="11" t="n">
        <v>616</v>
      </c>
      <c r="I40" s="11" t="n">
        <v>-616</v>
      </c>
      <c r="J40" s="11" t="n">
        <v>11497.64</v>
      </c>
      <c r="K40" s="11" t="inlineStr">
        <is>
          <t>超领</t>
        </is>
      </c>
      <c r="L40" s="4" t="n">
        <v>18.665</v>
      </c>
      <c r="M40" s="4" t="inlineStr">
        <is>
          <t>超领616个：实际领用616个 - 应领0个</t>
        </is>
      </c>
    </row>
    <row r="41" hidden="1">
      <c r="A41" s="11" t="inlineStr">
        <is>
          <t>开关插座面板</t>
        </is>
      </c>
      <c r="B41" s="11" t="inlineStr">
        <is>
          <t>10A二三插插座</t>
        </is>
      </c>
      <c r="C41" s="11" t="inlineStr"/>
      <c r="D41" s="11" t="inlineStr">
        <is>
          <t>个</t>
        </is>
      </c>
      <c r="E41" s="11" t="n">
        <v>12079</v>
      </c>
      <c r="F41" s="11" t="n">
        <v>0</v>
      </c>
      <c r="G41" s="11" t="n">
        <v>12079</v>
      </c>
      <c r="H41" s="11" t="n">
        <v>12596</v>
      </c>
      <c r="I41" s="11" t="n">
        <v>-517</v>
      </c>
      <c r="J41" s="11" t="n">
        <v>6099.15</v>
      </c>
      <c r="K41" s="11" t="inlineStr">
        <is>
          <t>超领</t>
        </is>
      </c>
      <c r="L41" s="4" t="n">
        <v>11.7972</v>
      </c>
      <c r="M41" s="4" t="inlineStr">
        <is>
          <t>超领517个：实际领用12596个 - 应领12079个</t>
        </is>
      </c>
    </row>
    <row r="42" hidden="1">
      <c r="A42" s="11" t="inlineStr">
        <is>
          <t>开关插座面板</t>
        </is>
      </c>
      <c r="B42" s="11" t="inlineStr">
        <is>
          <t>二三插带USB充电插座</t>
        </is>
      </c>
      <c r="C42" s="11" t="inlineStr"/>
      <c r="D42" s="11" t="inlineStr">
        <is>
          <t>个</t>
        </is>
      </c>
      <c r="E42" s="11" t="n">
        <v>977</v>
      </c>
      <c r="F42" s="11" t="n">
        <v>0</v>
      </c>
      <c r="G42" s="11" t="n">
        <v>977</v>
      </c>
      <c r="H42" s="11" t="n">
        <v>1052</v>
      </c>
      <c r="I42" s="11" t="n">
        <v>-75</v>
      </c>
      <c r="J42" s="11" t="n">
        <v>4224.79</v>
      </c>
      <c r="K42" s="11" t="inlineStr">
        <is>
          <t>超领</t>
        </is>
      </c>
      <c r="L42" s="4" t="n">
        <v>56.3305</v>
      </c>
      <c r="M42" s="4" t="inlineStr">
        <is>
          <t>超领75个：实际领用1052个 - 应领977个</t>
        </is>
      </c>
    </row>
    <row r="43" hidden="1">
      <c r="A43" s="11" t="inlineStr">
        <is>
          <t>开关插座面板</t>
        </is>
      </c>
      <c r="B43" s="11" t="inlineStr">
        <is>
          <t>10A连体带开关二三插</t>
        </is>
      </c>
      <c r="C43" s="11" t="inlineStr"/>
      <c r="D43" s="11" t="inlineStr">
        <is>
          <t>个</t>
        </is>
      </c>
      <c r="E43" s="11" t="n">
        <v>10</v>
      </c>
      <c r="F43" s="11" t="n">
        <v>0</v>
      </c>
      <c r="G43" s="11" t="n">
        <v>10</v>
      </c>
      <c r="H43" s="11" t="n">
        <v>3014</v>
      </c>
      <c r="I43" s="11" t="n">
        <v>-3004</v>
      </c>
      <c r="J43" s="11" t="n">
        <v>47081.99</v>
      </c>
      <c r="K43" s="11" t="inlineStr">
        <is>
          <t>超领</t>
        </is>
      </c>
      <c r="L43" s="4" t="n">
        <v>15.6731</v>
      </c>
      <c r="M43" s="4" t="inlineStr">
        <is>
          <t>超领3004个：实际领用3014个 - 应领10个</t>
        </is>
      </c>
    </row>
    <row r="44" hidden="1">
      <c r="A44" s="11" t="inlineStr">
        <is>
          <t>开关插座面板</t>
        </is>
      </c>
      <c r="B44" s="11" t="inlineStr">
        <is>
          <t>空白面板</t>
        </is>
      </c>
      <c r="C44" s="11" t="inlineStr"/>
      <c r="D44" s="11" t="inlineStr">
        <is>
          <t>个</t>
        </is>
      </c>
      <c r="E44" s="11" t="n">
        <v>1710</v>
      </c>
      <c r="F44" s="11" t="n">
        <v>0</v>
      </c>
      <c r="G44" s="11" t="n">
        <v>1710</v>
      </c>
      <c r="H44" s="11" t="n">
        <v>1900</v>
      </c>
      <c r="I44" s="11" t="n">
        <v>-190</v>
      </c>
      <c r="J44" s="11" t="n">
        <v>1337.58</v>
      </c>
      <c r="K44" s="11" t="inlineStr">
        <is>
          <t>超领</t>
        </is>
      </c>
      <c r="L44" s="4" t="n">
        <v>7.0399</v>
      </c>
      <c r="M44" s="4" t="inlineStr">
        <is>
          <t>超领190个：实际领用1900个 - 应领1710个</t>
        </is>
      </c>
    </row>
    <row r="45" hidden="1">
      <c r="A45" s="11" t="inlineStr">
        <is>
          <t>开关插座面板</t>
        </is>
      </c>
      <c r="B45" s="11" t="inlineStr">
        <is>
          <t>电话电脑插</t>
        </is>
      </c>
      <c r="C45" s="11" t="inlineStr"/>
      <c r="D45" s="11" t="inlineStr">
        <is>
          <t>个</t>
        </is>
      </c>
      <c r="E45" s="11" t="n">
        <v>1710</v>
      </c>
      <c r="F45" s="11" t="n">
        <v>0</v>
      </c>
      <c r="G45" s="11" t="n">
        <v>1710</v>
      </c>
      <c r="H45" s="11" t="n">
        <v>1756</v>
      </c>
      <c r="I45" s="11" t="n">
        <v>-46</v>
      </c>
      <c r="J45" s="11" t="n">
        <v>1454.92</v>
      </c>
      <c r="K45" s="11" t="inlineStr">
        <is>
          <t>超领</t>
        </is>
      </c>
      <c r="L45" s="4" t="n">
        <v>31.6287</v>
      </c>
      <c r="M45" s="4" t="inlineStr">
        <is>
          <t>超领46个：实际领用1756个 - 应领1710个</t>
        </is>
      </c>
    </row>
    <row r="46">
      <c r="A46" s="10" t="inlineStr">
        <is>
          <t>开关插座面板</t>
        </is>
      </c>
      <c r="B46" s="10" t="inlineStr">
        <is>
          <t>一位电视插</t>
        </is>
      </c>
      <c r="C46" s="10" t="inlineStr"/>
      <c r="D46" s="10" t="inlineStr">
        <is>
          <t>个</t>
        </is>
      </c>
      <c r="E46" s="10" t="n">
        <v>1370</v>
      </c>
      <c r="F46" s="10" t="n">
        <v>0</v>
      </c>
      <c r="G46" s="10" t="n">
        <v>1370</v>
      </c>
      <c r="H46" s="10" t="n">
        <v>1368</v>
      </c>
      <c r="I46" s="10" t="n">
        <v>2</v>
      </c>
      <c r="J46" s="10" t="n">
        <v>28.91</v>
      </c>
      <c r="K46" s="10" t="inlineStr">
        <is>
          <t>少领</t>
        </is>
      </c>
      <c r="L46" s="4" t="n">
        <v>14.4527</v>
      </c>
      <c r="M46" s="4" t="inlineStr">
        <is>
          <t>少领2个：应领1370个 - 实际领用1368个</t>
        </is>
      </c>
      <c r="N46">
        <f>L46*I46</f>
        <v/>
      </c>
    </row>
    <row r="47">
      <c r="A47" s="10" t="inlineStr">
        <is>
          <t>开关插座面板</t>
        </is>
      </c>
      <c r="B47" s="10" t="inlineStr">
        <is>
          <t>单连体白色防水盒</t>
        </is>
      </c>
      <c r="C47" s="10" t="inlineStr"/>
      <c r="D47" s="10" t="inlineStr">
        <is>
          <t>个</t>
        </is>
      </c>
      <c r="E47" s="10" t="n">
        <v>4982</v>
      </c>
      <c r="F47" s="10" t="n">
        <v>0</v>
      </c>
      <c r="G47" s="10" t="n">
        <v>4982</v>
      </c>
      <c r="H47" s="10" t="n">
        <v>4033</v>
      </c>
      <c r="I47" s="10" t="n">
        <v>949</v>
      </c>
      <c r="J47" s="10" t="n">
        <v>5651.39</v>
      </c>
      <c r="K47" s="10" t="inlineStr">
        <is>
          <t>少领</t>
        </is>
      </c>
      <c r="L47" s="4" t="n">
        <v>5.9551</v>
      </c>
      <c r="M47" s="4" t="inlineStr">
        <is>
          <t>少领949个：应领4982个 - 实际领用4033个</t>
        </is>
      </c>
      <c r="N47">
        <f>L47*I47</f>
        <v/>
      </c>
    </row>
    <row r="48">
      <c r="A48" s="10" t="inlineStr">
        <is>
          <t>开关插座面板</t>
        </is>
      </c>
      <c r="B48" s="10" t="inlineStr">
        <is>
          <t>单连体边框</t>
        </is>
      </c>
      <c r="C48" s="10" t="inlineStr"/>
      <c r="D48" s="10" t="inlineStr">
        <is>
          <t>个</t>
        </is>
      </c>
      <c r="E48" s="10" t="n">
        <v>11201</v>
      </c>
      <c r="F48" s="10" t="n">
        <v>0</v>
      </c>
      <c r="G48" s="10" t="n">
        <v>11201</v>
      </c>
      <c r="H48" s="10" t="n">
        <v>10279</v>
      </c>
      <c r="I48" s="10" t="n">
        <v>922</v>
      </c>
      <c r="J48" s="10" t="n">
        <v>1666.98</v>
      </c>
      <c r="K48" s="10" t="inlineStr">
        <is>
          <t>少领</t>
        </is>
      </c>
      <c r="L48" s="4" t="n">
        <v>1.808</v>
      </c>
      <c r="M48" s="4" t="inlineStr">
        <is>
          <t>少领922个：应领11201个 - 实际领用10279个</t>
        </is>
      </c>
      <c r="N48">
        <f>L48*I48</f>
        <v/>
      </c>
    </row>
    <row r="49">
      <c r="A49" s="10" t="inlineStr">
        <is>
          <t>开关插座面板</t>
        </is>
      </c>
      <c r="B49" s="10" t="inlineStr">
        <is>
          <t>二位联体面板(边框)</t>
        </is>
      </c>
      <c r="C49" s="10" t="inlineStr"/>
      <c r="D49" s="10" t="inlineStr">
        <is>
          <t>个</t>
        </is>
      </c>
      <c r="E49" s="10" t="n">
        <v>5890</v>
      </c>
      <c r="F49" s="10" t="n">
        <v>0</v>
      </c>
      <c r="G49" s="10" t="n">
        <v>5890</v>
      </c>
      <c r="H49" s="10" t="n">
        <v>5880</v>
      </c>
      <c r="I49" s="10" t="n">
        <v>10</v>
      </c>
      <c r="J49" s="10" t="n">
        <v>35.48</v>
      </c>
      <c r="K49" s="10" t="inlineStr">
        <is>
          <t>少领</t>
        </is>
      </c>
      <c r="L49" s="4" t="n">
        <v>3.5482</v>
      </c>
      <c r="M49" s="4" t="inlineStr">
        <is>
          <t>少领10个：应领5890个 - 实际领用5880个</t>
        </is>
      </c>
      <c r="N49">
        <f>L49*I49</f>
        <v/>
      </c>
    </row>
    <row r="50">
      <c r="A50" s="10" t="inlineStr">
        <is>
          <t>开关插座面板</t>
        </is>
      </c>
      <c r="B50" s="10" t="inlineStr">
        <is>
          <t>三位联体面板(边框)</t>
        </is>
      </c>
      <c r="C50" s="10" t="inlineStr"/>
      <c r="D50" s="10" t="inlineStr">
        <is>
          <t>个</t>
        </is>
      </c>
      <c r="E50" s="10" t="n">
        <v>1036</v>
      </c>
      <c r="F50" s="10" t="n">
        <v>0</v>
      </c>
      <c r="G50" s="10" t="n">
        <v>1036</v>
      </c>
      <c r="H50" s="10" t="n">
        <v>1026</v>
      </c>
      <c r="I50" s="10" t="n">
        <v>10</v>
      </c>
      <c r="J50" s="10" t="n">
        <v>64.3</v>
      </c>
      <c r="K50" s="10" t="inlineStr">
        <is>
          <t>少领</t>
        </is>
      </c>
      <c r="L50" s="4" t="n">
        <v>6.4297</v>
      </c>
      <c r="M50" s="4" t="inlineStr">
        <is>
          <t>少领10个：应领1036个 - 实际领用1026个</t>
        </is>
      </c>
      <c r="N50">
        <f>L50*I50</f>
        <v/>
      </c>
    </row>
    <row r="51">
      <c r="A51" s="10" t="inlineStr">
        <is>
          <t>开关插座面板</t>
        </is>
      </c>
      <c r="B51" s="10" t="inlineStr">
        <is>
          <t>单联体边框（边框颜色更换）</t>
        </is>
      </c>
      <c r="C51" s="10" t="inlineStr"/>
      <c r="D51" s="10" t="inlineStr">
        <is>
          <t>个</t>
        </is>
      </c>
      <c r="E51" s="10" t="n">
        <v>10</v>
      </c>
      <c r="F51" s="10" t="n">
        <v>0</v>
      </c>
      <c r="G51" s="10" t="n">
        <v>11201</v>
      </c>
      <c r="H51" s="10" t="n">
        <v>10279</v>
      </c>
      <c r="I51" s="10" t="n">
        <v>922</v>
      </c>
      <c r="J51" s="10" t="n">
        <v>729.3</v>
      </c>
      <c r="K51" s="10" t="inlineStr">
        <is>
          <t>少领</t>
        </is>
      </c>
      <c r="L51" s="4" t="n">
        <v>0.791</v>
      </c>
      <c r="M51" s="4" t="inlineStr">
        <is>
          <t>少领922个：应领11201个 - 实际领用10279个</t>
        </is>
      </c>
      <c r="N51">
        <f>L51*I51</f>
        <v/>
      </c>
    </row>
    <row r="52">
      <c r="A52" s="10" t="inlineStr">
        <is>
          <t>开关插座面板</t>
        </is>
      </c>
      <c r="B52" s="10" t="inlineStr">
        <is>
          <t>二位联体面板(边框颜色更换)</t>
        </is>
      </c>
      <c r="C52" s="10" t="inlineStr"/>
      <c r="D52" s="10" t="inlineStr">
        <is>
          <t>个</t>
        </is>
      </c>
      <c r="E52" s="10" t="n">
        <v>11201</v>
      </c>
      <c r="F52" s="10" t="n">
        <v>0</v>
      </c>
      <c r="G52" s="10" t="n">
        <v>5890</v>
      </c>
      <c r="H52" s="10" t="n">
        <v>5880</v>
      </c>
      <c r="I52" s="10" t="n">
        <v>10</v>
      </c>
      <c r="J52" s="10" t="n">
        <v>7.8</v>
      </c>
      <c r="K52" s="10" t="inlineStr">
        <is>
          <t>少领</t>
        </is>
      </c>
      <c r="L52" s="4" t="n">
        <v>0.7796999999999999</v>
      </c>
      <c r="M52" s="4" t="inlineStr">
        <is>
          <t>少领10个：应领5890个 - 实际领用5880个</t>
        </is>
      </c>
    </row>
    <row r="53">
      <c r="A53" s="10" t="inlineStr">
        <is>
          <t>开关插座面板</t>
        </is>
      </c>
      <c r="B53" s="10" t="inlineStr">
        <is>
          <t>三位联体面板(边框颜色更换)</t>
        </is>
      </c>
      <c r="C53" s="10" t="inlineStr"/>
      <c r="D53" s="10" t="inlineStr">
        <is>
          <t>个</t>
        </is>
      </c>
      <c r="E53" s="10" t="n">
        <v>5890</v>
      </c>
      <c r="F53" s="10" t="n">
        <v>0</v>
      </c>
      <c r="G53" s="10" t="n">
        <v>1036</v>
      </c>
      <c r="H53" s="10" t="n">
        <v>1026</v>
      </c>
      <c r="I53" s="10" t="n">
        <v>10</v>
      </c>
      <c r="J53" s="10" t="n">
        <v>7.8</v>
      </c>
      <c r="K53" s="10" t="inlineStr">
        <is>
          <t>少领</t>
        </is>
      </c>
      <c r="L53" s="4" t="n">
        <v>0.7796999999999999</v>
      </c>
      <c r="M53" s="4" t="inlineStr">
        <is>
          <t>少领10个：应领1036个 - 实际领用1026个</t>
        </is>
      </c>
    </row>
    <row r="54" hidden="1">
      <c r="A54" s="11" t="inlineStr">
        <is>
          <t>开关插座面板</t>
        </is>
      </c>
      <c r="B54" s="11" t="inlineStr">
        <is>
          <t>呼叫开关(报警开关)</t>
        </is>
      </c>
      <c r="C54" s="11" t="inlineStr"/>
      <c r="D54" s="11" t="inlineStr">
        <is>
          <t>个</t>
        </is>
      </c>
      <c r="E54" s="11" t="n">
        <v>1036</v>
      </c>
      <c r="F54" s="11" t="n">
        <v>0</v>
      </c>
      <c r="G54" s="11" t="n">
        <v>0</v>
      </c>
      <c r="H54" s="11" t="n">
        <v>822</v>
      </c>
      <c r="I54" s="11" t="n">
        <v>-822</v>
      </c>
      <c r="J54" s="11" t="n">
        <v>23628.39</v>
      </c>
      <c r="K54" s="11" t="inlineStr">
        <is>
          <t>超领</t>
        </is>
      </c>
      <c r="L54" s="4" t="n">
        <v>28.745</v>
      </c>
      <c r="M54" s="4" t="inlineStr">
        <is>
          <t>超领822个：实际领用822个 - 应领0个</t>
        </is>
      </c>
    </row>
    <row r="55" hidden="1">
      <c r="A55" s="3" t="inlineStr">
        <is>
          <t>洁具(科勒)</t>
        </is>
      </c>
      <c r="B55" s="3" t="inlineStr">
        <is>
          <t>淋浴花洒</t>
        </is>
      </c>
      <c r="C55" s="3" t="inlineStr"/>
      <c r="D55" s="3" t="inlineStr">
        <is>
          <t>套</t>
        </is>
      </c>
      <c r="E55" s="3" t="n">
        <v>10</v>
      </c>
      <c r="F55" s="3" t="n">
        <v>0</v>
      </c>
      <c r="G55" s="3" t="n">
        <v>680</v>
      </c>
      <c r="H55" s="3" t="n">
        <v>680</v>
      </c>
      <c r="I55" s="3" t="n">
        <v>0</v>
      </c>
      <c r="J55" s="3" t="n">
        <v>0</v>
      </c>
      <c r="K55" s="3" t="inlineStr">
        <is>
          <t>持平</t>
        </is>
      </c>
      <c r="L55" s="4" t="inlineStr"/>
      <c r="M55" s="4" t="inlineStr">
        <is>
          <t>持平：应领680套 = 实际领用680套</t>
        </is>
      </c>
    </row>
    <row r="56" hidden="1">
      <c r="A56" s="3" t="inlineStr">
        <is>
          <t>洁具(科勒)</t>
        </is>
      </c>
      <c r="B56" s="3" t="inlineStr">
        <is>
          <t>客卫分体座便器</t>
        </is>
      </c>
      <c r="C56" s="3" t="inlineStr"/>
      <c r="D56" s="3" t="inlineStr">
        <is>
          <t>套</t>
        </is>
      </c>
      <c r="E56" s="3" t="n">
        <v>0</v>
      </c>
      <c r="F56" s="3" t="n">
        <v>0</v>
      </c>
      <c r="G56" s="3" t="n">
        <v>680</v>
      </c>
      <c r="H56" s="3" t="n">
        <v>680</v>
      </c>
      <c r="I56" s="3" t="n">
        <v>0</v>
      </c>
      <c r="J56" s="3" t="n">
        <v>0</v>
      </c>
      <c r="K56" s="3" t="inlineStr">
        <is>
          <t>持平</t>
        </is>
      </c>
      <c r="L56" s="4" t="inlineStr"/>
      <c r="M56" s="4" t="inlineStr">
        <is>
          <t>持平：应领680套 = 实际领用680套</t>
        </is>
      </c>
    </row>
    <row r="57" hidden="1">
      <c r="A57" s="3" t="inlineStr">
        <is>
          <t>洁具(科勒)</t>
        </is>
      </c>
      <c r="B57" s="3" t="inlineStr">
        <is>
          <t>台下盆方形</t>
        </is>
      </c>
      <c r="C57" s="3" t="inlineStr"/>
      <c r="D57" s="3" t="inlineStr">
        <is>
          <t>套</t>
        </is>
      </c>
      <c r="E57" s="3" t="n">
        <v>340</v>
      </c>
      <c r="F57" s="3" t="n">
        <v>0</v>
      </c>
      <c r="G57" s="3" t="n">
        <v>680</v>
      </c>
      <c r="H57" s="3" t="n">
        <v>680</v>
      </c>
      <c r="I57" s="3" t="n">
        <v>0</v>
      </c>
      <c r="J57" s="3" t="n">
        <v>0</v>
      </c>
      <c r="K57" s="3" t="inlineStr">
        <is>
          <t>持平</t>
        </is>
      </c>
      <c r="L57" s="4" t="inlineStr"/>
      <c r="M57" s="4" t="inlineStr">
        <is>
          <t>持平：应领680套 = 实际领用680套</t>
        </is>
      </c>
    </row>
    <row r="58">
      <c r="A58" s="10" t="inlineStr">
        <is>
          <t>HDPE管材</t>
        </is>
      </c>
      <c r="B58" s="10" t="inlineStr">
        <is>
          <t>HDPE管材</t>
        </is>
      </c>
      <c r="C58" s="10" t="n">
        <v>32</v>
      </c>
      <c r="D58" s="10" t="inlineStr">
        <is>
          <t>米</t>
        </is>
      </c>
      <c r="E58" s="10" t="n">
        <v>680</v>
      </c>
      <c r="F58" s="10" t="n">
        <v>0</v>
      </c>
      <c r="G58" s="10" t="n">
        <v>290.53</v>
      </c>
      <c r="H58" s="10" t="n">
        <v>105</v>
      </c>
      <c r="I58" s="10" t="n">
        <v>185.53</v>
      </c>
      <c r="J58" s="10" t="n">
        <v>968.47</v>
      </c>
      <c r="K58" s="10" t="inlineStr">
        <is>
          <t>少领</t>
        </is>
      </c>
      <c r="L58" s="4" t="n">
        <v>35.15</v>
      </c>
      <c r="M58" s="4" t="inlineStr">
        <is>
          <t>少领186米：应领291米 - 实际领用105米</t>
        </is>
      </c>
    </row>
    <row r="59">
      <c r="A59" s="10" t="inlineStr">
        <is>
          <t>HDPE管材</t>
        </is>
      </c>
      <c r="B59" s="10" t="inlineStr">
        <is>
          <t>HDPE管材</t>
        </is>
      </c>
      <c r="C59" s="10" t="n">
        <v>50</v>
      </c>
      <c r="D59" s="10" t="inlineStr">
        <is>
          <t>米</t>
        </is>
      </c>
      <c r="E59" s="10" t="n">
        <v>680</v>
      </c>
      <c r="F59" s="10" t="n">
        <v>0</v>
      </c>
      <c r="G59" s="10" t="n">
        <v>2513.77</v>
      </c>
      <c r="H59" s="10" t="n">
        <v>1040</v>
      </c>
      <c r="I59" s="10" t="n">
        <v>1473.77</v>
      </c>
      <c r="J59" s="10" t="n">
        <v>16859.93</v>
      </c>
      <c r="K59" s="10" t="inlineStr">
        <is>
          <t>少领</t>
        </is>
      </c>
      <c r="L59" s="4" t="n">
        <v>35.15</v>
      </c>
      <c r="M59" s="4" t="inlineStr">
        <is>
          <t>少领1474米：应领2514米 - 实际领用1040米</t>
        </is>
      </c>
    </row>
    <row r="60">
      <c r="A60" s="10" t="inlineStr">
        <is>
          <t>HDPE管材</t>
        </is>
      </c>
      <c r="B60" s="10" t="inlineStr">
        <is>
          <t>HDPE管材</t>
        </is>
      </c>
      <c r="C60" s="10" t="n">
        <v>75</v>
      </c>
      <c r="D60" s="10" t="inlineStr">
        <is>
          <t>米</t>
        </is>
      </c>
      <c r="E60" s="10" t="n">
        <v>680</v>
      </c>
      <c r="F60" s="10" t="n">
        <v>0</v>
      </c>
      <c r="G60" s="10" t="n">
        <v>676.5599999999999</v>
      </c>
      <c r="H60" s="10" t="n">
        <v>80</v>
      </c>
      <c r="I60" s="10" t="n">
        <v>596.5599999999999</v>
      </c>
      <c r="J60" s="10" t="n">
        <v>10236.97</v>
      </c>
      <c r="K60" s="10" t="inlineStr">
        <is>
          <t>少领</t>
        </is>
      </c>
      <c r="L60" s="4" t="n">
        <v>35.15</v>
      </c>
      <c r="M60" s="4" t="inlineStr">
        <is>
          <t>少领597米：应领677米 - 实际领用80米</t>
        </is>
      </c>
    </row>
    <row r="61">
      <c r="A61" s="10" t="inlineStr">
        <is>
          <t>HDPE管材</t>
        </is>
      </c>
      <c r="B61" s="10" t="inlineStr">
        <is>
          <t>HDPE管材</t>
        </is>
      </c>
      <c r="C61" s="10" t="n">
        <v>110</v>
      </c>
      <c r="D61" s="10" t="inlineStr">
        <is>
          <t>米</t>
        </is>
      </c>
      <c r="E61" s="10" t="n">
        <v>680</v>
      </c>
      <c r="F61" s="10" t="n">
        <v>0</v>
      </c>
      <c r="G61" s="10" t="n">
        <v>1597.72</v>
      </c>
      <c r="H61" s="10" t="n">
        <v>693</v>
      </c>
      <c r="I61" s="10" t="n">
        <v>904.72</v>
      </c>
      <c r="J61" s="10" t="n">
        <v>31800.91</v>
      </c>
      <c r="K61" s="10" t="inlineStr">
        <is>
          <t>少领</t>
        </is>
      </c>
      <c r="L61" s="4" t="n">
        <v>35.15</v>
      </c>
      <c r="M61" s="4" t="inlineStr">
        <is>
          <t>少领905米：应领1598米 - 实际领用693米</t>
        </is>
      </c>
    </row>
    <row r="62" hidden="1">
      <c r="E62" t="n">
        <v>0</v>
      </c>
      <c r="F62" t="n">
        <v>290.53</v>
      </c>
      <c r="L62" s="4" t="inlineStr"/>
      <c r="M62" s="4" t="n"/>
    </row>
    <row r="63" hidden="1" ht="15.6" customHeight="1">
      <c r="A63" s="12" t="n"/>
      <c r="E63" t="n">
        <v>8.909999847412109</v>
      </c>
      <c r="F63" t="n">
        <v>2504.86</v>
      </c>
      <c r="L63" s="4" t="inlineStr"/>
      <c r="M63" s="4" t="n"/>
    </row>
    <row r="64" hidden="1">
      <c r="A64" s="5" t="inlineStr">
        <is>
          <t>少领(实际&lt;应领)汇总</t>
        </is>
      </c>
      <c r="B64" s="6" t="n"/>
      <c r="C64" s="6" t="n"/>
      <c r="D64" s="6" t="n"/>
      <c r="E64" s="6" t="n">
        <v>2.75</v>
      </c>
      <c r="F64" s="6" t="n">
        <v>673.8099999999999</v>
      </c>
      <c r="G64" s="5" t="n">
        <v>6336</v>
      </c>
      <c r="H64" s="6" t="n"/>
      <c r="I64" s="6" t="n"/>
      <c r="J64" s="7" t="n">
        <v>93688.92999999999</v>
      </c>
      <c r="K64" s="6" t="n"/>
      <c r="L64" s="4" t="inlineStr"/>
      <c r="M64" s="4" t="n"/>
    </row>
    <row r="65" hidden="1">
      <c r="A65" s="5" t="inlineStr">
        <is>
          <t>超领(实际&gt;应领)汇总</t>
        </is>
      </c>
      <c r="B65" s="6" t="n"/>
      <c r="C65" s="6" t="n"/>
      <c r="D65" s="6" t="n"/>
      <c r="E65" s="6" t="n">
        <v>5.32999992370605</v>
      </c>
      <c r="F65" s="6" t="n">
        <v>1592.39</v>
      </c>
      <c r="G65" s="5" t="n">
        <v>7582</v>
      </c>
      <c r="H65" s="6" t="n"/>
      <c r="I65" s="6" t="n"/>
      <c r="J65" s="7" t="n">
        <v>164223.2</v>
      </c>
      <c r="K65" s="6" t="n"/>
      <c r="L65" s="4" t="inlineStr"/>
      <c r="M65" s="4" t="n"/>
    </row>
    <row r="66">
      <c r="E66" t="n">
        <v>0</v>
      </c>
      <c r="F66" t="n">
        <v>0</v>
      </c>
    </row>
  </sheetData>
  <autoFilter ref="A5:M65">
    <filterColumn colId="10" hiddenButton="0" showButton="1">
      <filters>
        <filter val="少领"/>
      </filters>
    </filterColumn>
  </autoFilter>
  <mergeCells count="4">
    <mergeCell ref="A1:I1"/>
    <mergeCell ref="A2:I2"/>
    <mergeCell ref="A3:I3"/>
    <mergeCell ref="A63:D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:E1"/>
    </sheetView>
  </sheetViews>
  <sheetFormatPr baseColWidth="8" defaultColWidth="9" defaultRowHeight="14.4"/>
  <cols>
    <col width="30" customWidth="1" min="1" max="1"/>
    <col width="18" customWidth="1" min="2" max="2"/>
    <col width="10" customWidth="1" min="3" max="3"/>
    <col width="18" customWidth="1" min="4" max="4"/>
    <col width="25" customWidth="1" min="5" max="5"/>
  </cols>
  <sheetData>
    <row r="1" ht="17.4" customHeight="1">
      <c r="A1" s="1" t="inlineStr">
        <is>
          <t>甲供材超领(超供)扣款汇总</t>
        </is>
      </c>
    </row>
    <row r="3">
      <c r="A3" s="2" t="inlineStr">
        <is>
          <t>材料类别</t>
        </is>
      </c>
      <c r="B3" s="2" t="inlineStr">
        <is>
          <t>除税超领金额</t>
        </is>
      </c>
      <c r="C3" s="2" t="inlineStr">
        <is>
          <t>增值税</t>
        </is>
      </c>
      <c r="D3" s="2" t="inlineStr">
        <is>
          <t>含税超领金额</t>
        </is>
      </c>
      <c r="E3" s="2" t="inlineStr">
        <is>
          <t>备注</t>
        </is>
      </c>
    </row>
    <row r="4">
      <c r="A4" s="3" t="inlineStr">
        <is>
          <t>户内配电箱结算</t>
        </is>
      </c>
      <c r="B4" s="3" t="n">
        <v>0</v>
      </c>
      <c r="C4" s="3" t="n">
        <v>0.13</v>
      </c>
      <c r="D4" s="3" t="n">
        <v>0</v>
      </c>
      <c r="E4" s="3" t="inlineStr">
        <is>
          <t>复核无误</t>
        </is>
      </c>
    </row>
    <row r="5">
      <c r="A5" s="3" t="inlineStr">
        <is>
          <t>灯具结算</t>
        </is>
      </c>
      <c r="B5" s="3" t="n">
        <v>-40271.2463716814</v>
      </c>
      <c r="C5" s="3" t="n">
        <v>0.13</v>
      </c>
      <c r="D5" s="3" t="n">
        <v>-45506.5084</v>
      </c>
      <c r="E5" s="3" t="inlineStr">
        <is>
          <t>复核无误</t>
        </is>
      </c>
    </row>
    <row r="6">
      <c r="A6" s="3" t="inlineStr">
        <is>
          <t>浴霸及凉霸结算</t>
        </is>
      </c>
      <c r="B6" s="3" t="n">
        <v>0</v>
      </c>
      <c r="C6" s="3" t="n">
        <v>0.13</v>
      </c>
      <c r="D6" s="3" t="n">
        <v>0</v>
      </c>
      <c r="E6" s="3" t="inlineStr">
        <is>
          <t>复核无误</t>
        </is>
      </c>
    </row>
    <row r="7">
      <c r="A7" s="3" t="inlineStr">
        <is>
          <t>开关插座面板结算</t>
        </is>
      </c>
      <c r="B7" s="3" t="n">
        <v>-104900.112300885</v>
      </c>
      <c r="C7" s="3" t="n">
        <v>0.13</v>
      </c>
      <c r="D7" s="3" t="n">
        <v>-118537.1269</v>
      </c>
      <c r="E7" s="3" t="inlineStr">
        <is>
          <t>复核无误</t>
        </is>
      </c>
    </row>
    <row r="8">
      <c r="A8" s="3" t="inlineStr">
        <is>
          <t>电线电缆结算</t>
        </is>
      </c>
      <c r="B8" s="3" t="n">
        <v>-188684.720943357</v>
      </c>
      <c r="C8" s="3" t="n">
        <v>0.13</v>
      </c>
      <c r="D8" s="3" t="n">
        <v>-213213.734665994</v>
      </c>
      <c r="E8" s="3" t="inlineStr">
        <is>
          <t>复核无误</t>
        </is>
      </c>
    </row>
    <row r="9">
      <c r="A9" s="3" t="inlineStr">
        <is>
          <t>弱电箱结算</t>
        </is>
      </c>
      <c r="B9" s="3" t="n">
        <v>-304.08</v>
      </c>
      <c r="C9" s="3" t="n">
        <v>0.13</v>
      </c>
      <c r="D9" s="3" t="n">
        <v>-343.6104</v>
      </c>
      <c r="E9" s="3" t="inlineStr">
        <is>
          <t>复核无误</t>
        </is>
      </c>
    </row>
    <row r="10">
      <c r="A10" s="3" t="inlineStr">
        <is>
          <t>洁具（科勒）结算</t>
        </is>
      </c>
      <c r="B10" s="3" t="n">
        <v>0</v>
      </c>
      <c r="C10" s="3" t="n">
        <v>0.13</v>
      </c>
      <c r="D10" s="3" t="n">
        <v>0</v>
      </c>
      <c r="E10" s="3" t="inlineStr">
        <is>
          <t>复核无误</t>
        </is>
      </c>
    </row>
    <row r="11">
      <c r="A11" s="3" t="inlineStr">
        <is>
          <t>洁具五金（东鹏）结算</t>
        </is>
      </c>
      <c r="B11" s="3" t="n">
        <v>0</v>
      </c>
      <c r="C11" s="3" t="n">
        <v>0.13</v>
      </c>
      <c r="D11" s="3" t="n">
        <v>0</v>
      </c>
      <c r="E11" s="3" t="inlineStr">
        <is>
          <t>复核无误</t>
        </is>
      </c>
    </row>
    <row r="12">
      <c r="A12" s="3" t="inlineStr">
        <is>
          <t>厨房水槽（恒洁）结算</t>
        </is>
      </c>
      <c r="B12" s="3" t="n">
        <v>0</v>
      </c>
      <c r="C12" s="3" t="n">
        <v>0.13</v>
      </c>
      <c r="D12" s="3" t="n">
        <v>0</v>
      </c>
      <c r="E12" s="3" t="inlineStr">
        <is>
          <t>复核无误</t>
        </is>
      </c>
    </row>
    <row r="13">
      <c r="A13" s="3" t="inlineStr">
        <is>
          <t>塑料管材</t>
        </is>
      </c>
      <c r="B13" s="3" t="n">
        <v>0</v>
      </c>
      <c r="C13" s="3" t="n">
        <v>0.13</v>
      </c>
      <c r="D13" s="3" t="n">
        <v>0</v>
      </c>
      <c r="E13" s="3" t="inlineStr">
        <is>
          <t>复核无误</t>
        </is>
      </c>
    </row>
    <row r="14">
      <c r="A14" s="3" t="inlineStr">
        <is>
          <t>HDPE管材结算</t>
        </is>
      </c>
      <c r="B14" s="3" t="n">
        <v>-23425.3778761062</v>
      </c>
      <c r="C14" s="3" t="n">
        <v>0.13</v>
      </c>
      <c r="D14" s="3" t="n">
        <v>-26470.677</v>
      </c>
      <c r="E14" s="3" t="inlineStr">
        <is>
          <t>复核无误</t>
        </is>
      </c>
    </row>
    <row r="15">
      <c r="A15" s="3" t="inlineStr">
        <is>
          <t>户内地漏（HDPE）结算</t>
        </is>
      </c>
      <c r="B15" s="3" t="n">
        <v>-29388.5309734513</v>
      </c>
      <c r="C15" s="3" t="n">
        <v>0.13</v>
      </c>
      <c r="D15" s="3" t="n">
        <v>-33209.04</v>
      </c>
      <c r="E15" s="3" t="inlineStr">
        <is>
          <t>复核无误</t>
        </is>
      </c>
    </row>
    <row r="16">
      <c r="A16" s="3" t="inlineStr">
        <is>
          <t>HDPE电焊管箍结算</t>
        </is>
      </c>
      <c r="B16" s="3" t="n">
        <v>-16230.7168141593</v>
      </c>
      <c r="C16" s="3" t="n">
        <v>0.13</v>
      </c>
      <c r="D16" s="3" t="n">
        <v>-18340.71</v>
      </c>
      <c r="E16" s="3" t="inlineStr">
        <is>
          <t>复核无误</t>
        </is>
      </c>
    </row>
    <row r="17">
      <c r="A17" s="3" t="inlineStr">
        <is>
          <t>瓷砖结算</t>
        </is>
      </c>
      <c r="B17" s="3" t="n">
        <v>-243290.43721032</v>
      </c>
      <c r="C17" s="3" t="n">
        <v>0.13</v>
      </c>
      <c r="D17" s="3" t="n">
        <v>-274918.194047661</v>
      </c>
      <c r="E17" s="3" t="inlineStr">
        <is>
          <t>复核无误</t>
        </is>
      </c>
    </row>
    <row r="18">
      <c r="A18" s="3" t="inlineStr">
        <is>
          <t>内墙涂料结算</t>
        </is>
      </c>
      <c r="B18" s="3" t="n">
        <v>-13715.157085656</v>
      </c>
      <c r="C18" s="3" t="n">
        <v>0.13</v>
      </c>
      <c r="D18" s="3" t="n">
        <v>-15498.1275067913</v>
      </c>
      <c r="E18" s="3" t="inlineStr">
        <is>
          <t>复核无误</t>
        </is>
      </c>
    </row>
    <row r="19">
      <c r="A19" s="3" t="inlineStr">
        <is>
          <t>防水材料结算</t>
        </is>
      </c>
      <c r="B19" s="3" t="n">
        <v>0</v>
      </c>
      <c r="C19" s="3" t="n">
        <v>0.13</v>
      </c>
      <c r="D19" s="3" t="n">
        <v>0</v>
      </c>
      <c r="E19" s="3" t="inlineStr">
        <is>
          <t>复核无误</t>
        </is>
      </c>
    </row>
    <row r="20">
      <c r="A20" s="3" t="inlineStr">
        <is>
          <t>合计</t>
        </is>
      </c>
      <c r="B20" s="3" t="n">
        <v>-660210.379575617</v>
      </c>
      <c r="C20" s="3" t="n">
        <v>0.13</v>
      </c>
      <c r="D20" s="3" t="n">
        <v>-746037.7289204471</v>
      </c>
      <c r="E20" s="3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:J1"/>
    </sheetView>
  </sheetViews>
  <sheetFormatPr baseColWidth="8" defaultColWidth="9" defaultRowHeight="14.4"/>
  <cols>
    <col width="16" customWidth="1" min="1" max="1"/>
    <col width="35" customWidth="1" min="2" max="2"/>
    <col width="8" customWidth="1" min="3" max="3"/>
    <col width="16" customWidth="1" min="4" max="5"/>
    <col width="12" customWidth="1" min="6" max="6"/>
    <col width="16" customWidth="1" min="7" max="7"/>
    <col width="50" customWidth="1" min="8" max="8"/>
    <col width="14" customWidth="1" min="9" max="9"/>
    <col width="45" customWidth="1" min="10" max="10"/>
  </cols>
  <sheetData>
    <row r="1" ht="17.4" customHeight="1">
      <c r="A1" s="1" t="inlineStr">
        <is>
          <t>少领明细 — 实际领用少于应领总量(可移交物业的剩余配件)</t>
        </is>
      </c>
    </row>
    <row r="3" ht="24" customHeight="1">
      <c r="A3" s="2" t="inlineStr">
        <is>
          <t>材料类别</t>
        </is>
      </c>
      <c r="B3" s="2" t="inlineStr">
        <is>
          <t>材料名称</t>
        </is>
      </c>
      <c r="C3" s="2" t="inlineStr">
        <is>
          <t>单位</t>
        </is>
      </c>
      <c r="D3" s="2" t="inlineStr">
        <is>
          <t>应领总量(含损耗)</t>
        </is>
      </c>
      <c r="E3" s="2" t="inlineStr">
        <is>
          <t>实际领用(四方单)</t>
        </is>
      </c>
      <c r="F3" s="2" t="inlineStr">
        <is>
          <t>少领数量</t>
        </is>
      </c>
      <c r="G3" s="2" t="inlineStr">
        <is>
          <t>预估金额(含税)</t>
        </is>
      </c>
      <c r="H3" s="2" t="inlineStr">
        <is>
          <t>说明</t>
        </is>
      </c>
      <c r="I3" s="2" t="inlineStr">
        <is>
          <t>单价(含税)</t>
        </is>
      </c>
      <c r="J3" s="2" t="inlineStr">
        <is>
          <t>数量明细说明</t>
        </is>
      </c>
    </row>
    <row r="4">
      <c r="A4" s="3" t="inlineStr">
        <is>
          <t>灯具</t>
        </is>
      </c>
      <c r="B4" s="3" t="inlineStr">
        <is>
          <t>LED吸顶灯/户内及公区</t>
        </is>
      </c>
      <c r="C4" s="3" t="inlineStr">
        <is>
          <t>PAK417000</t>
        </is>
      </c>
      <c r="D4" s="3" t="inlineStr">
        <is>
          <t xml:space="preserve">个 </t>
        </is>
      </c>
      <c r="E4" s="3" t="inlineStr"/>
      <c r="F4" s="3" t="inlineStr"/>
      <c r="G4" s="3" t="n">
        <v>350</v>
      </c>
      <c r="H4" s="3" t="inlineStr">
        <is>
          <t>少领</t>
        </is>
      </c>
      <c r="I4" s="4" t="n">
        <v>32.8</v>
      </c>
      <c r="J4" s="4" t="n"/>
    </row>
    <row r="5">
      <c r="A5" s="3" t="inlineStr">
        <is>
          <t>灯具</t>
        </is>
      </c>
      <c r="B5" s="3" t="inlineStr">
        <is>
          <t>LED厨卫灯/卫生间</t>
        </is>
      </c>
      <c r="C5" s="3" t="inlineStr">
        <is>
          <t>PAK563055</t>
        </is>
      </c>
      <c r="D5" s="3" t="inlineStr">
        <is>
          <t xml:space="preserve">个 </t>
        </is>
      </c>
      <c r="E5" s="3" t="inlineStr"/>
      <c r="F5" s="3" t="inlineStr"/>
      <c r="G5" s="3" t="n">
        <v>30</v>
      </c>
      <c r="H5" s="3" t="inlineStr">
        <is>
          <t>少领</t>
        </is>
      </c>
      <c r="I5" s="4" t="n">
        <v>28.31</v>
      </c>
      <c r="J5" s="4" t="n"/>
    </row>
    <row r="6">
      <c r="A6" s="3" t="inlineStr">
        <is>
          <t>灯具</t>
        </is>
      </c>
      <c r="B6" s="3" t="inlineStr">
        <is>
          <t>灯带驱动/户内及公区</t>
        </is>
      </c>
      <c r="C6" s="3" t="inlineStr">
        <is>
          <t>PAK541023</t>
        </is>
      </c>
      <c r="D6" s="3" t="inlineStr">
        <is>
          <t xml:space="preserve">个 </t>
        </is>
      </c>
      <c r="E6" s="3" t="inlineStr"/>
      <c r="F6" s="3" t="inlineStr"/>
      <c r="G6" s="3" t="n">
        <v>1383</v>
      </c>
      <c r="H6" s="3" t="inlineStr">
        <is>
          <t>少领</t>
        </is>
      </c>
      <c r="I6" s="4" t="n">
        <v>74.7</v>
      </c>
      <c r="J6" s="4" t="n"/>
    </row>
    <row r="7">
      <c r="A7" s="3" t="inlineStr">
        <is>
          <t>灯具</t>
        </is>
      </c>
      <c r="B7" s="3" t="inlineStr">
        <is>
          <t>LED线条灯/公区</t>
        </is>
      </c>
      <c r="C7" s="3" t="inlineStr">
        <is>
          <t>PAK-LED-DL24-10W-830-G8026</t>
        </is>
      </c>
      <c r="D7" s="3" t="inlineStr">
        <is>
          <t>米</t>
        </is>
      </c>
      <c r="E7" s="3" t="inlineStr"/>
      <c r="F7" s="3" t="inlineStr"/>
      <c r="G7" s="3" t="n">
        <v>1215.97</v>
      </c>
      <c r="H7" s="3" t="inlineStr">
        <is>
          <t>少领</t>
        </is>
      </c>
      <c r="I7" s="4" t="n">
        <v>121.26</v>
      </c>
      <c r="J7" s="4" t="n"/>
    </row>
    <row r="8">
      <c r="A8" s="3" t="inlineStr">
        <is>
          <t>灯具</t>
        </is>
      </c>
      <c r="B8" s="3" t="inlineStr">
        <is>
          <t>驱动电源/公区</t>
        </is>
      </c>
      <c r="C8" s="3" t="inlineStr">
        <is>
          <t>PAK070109</t>
        </is>
      </c>
      <c r="D8" s="3" t="inlineStr">
        <is>
          <t>个</t>
        </is>
      </c>
      <c r="E8" s="3" t="inlineStr"/>
      <c r="F8" s="3" t="inlineStr"/>
      <c r="G8" s="3" t="n">
        <v>45</v>
      </c>
      <c r="H8" s="3" t="inlineStr">
        <is>
          <t>少领</t>
        </is>
      </c>
      <c r="I8" s="4" t="n">
        <v>188.73</v>
      </c>
      <c r="J8" s="4" t="n"/>
    </row>
    <row r="9">
      <c r="A9" s="3" t="inlineStr">
        <is>
          <t>开关插座面板</t>
        </is>
      </c>
      <c r="B9" s="3" t="inlineStr">
        <is>
          <t>一位电视插</t>
        </is>
      </c>
      <c r="C9" s="3" t="inlineStr"/>
      <c r="D9" s="3" t="inlineStr">
        <is>
          <t>个</t>
        </is>
      </c>
      <c r="E9" s="3" t="inlineStr"/>
      <c r="F9" s="3" t="inlineStr"/>
      <c r="G9" s="3" t="n">
        <v>1370</v>
      </c>
      <c r="H9" s="3" t="inlineStr">
        <is>
          <t>少领</t>
        </is>
      </c>
      <c r="I9" s="4" t="n">
        <v>14.4527</v>
      </c>
      <c r="J9" s="4" t="n"/>
    </row>
    <row r="10">
      <c r="A10" s="3" t="inlineStr">
        <is>
          <t>开关插座面板</t>
        </is>
      </c>
      <c r="B10" s="3" t="inlineStr">
        <is>
          <t>单连体白色防水盒</t>
        </is>
      </c>
      <c r="C10" s="3" t="inlineStr"/>
      <c r="D10" s="3" t="inlineStr">
        <is>
          <t>个</t>
        </is>
      </c>
      <c r="E10" s="3" t="inlineStr"/>
      <c r="F10" s="3" t="inlineStr"/>
      <c r="G10" s="3" t="n">
        <v>4982</v>
      </c>
      <c r="H10" s="3" t="inlineStr">
        <is>
          <t>少领</t>
        </is>
      </c>
      <c r="I10" s="4" t="n">
        <v>5.9551</v>
      </c>
      <c r="J10" s="4" t="n"/>
    </row>
    <row r="11">
      <c r="A11" s="3" t="inlineStr">
        <is>
          <t>开关插座面板</t>
        </is>
      </c>
      <c r="B11" s="3" t="inlineStr">
        <is>
          <t>单连体边框</t>
        </is>
      </c>
      <c r="C11" s="3" t="inlineStr"/>
      <c r="D11" s="3" t="inlineStr">
        <is>
          <t>个</t>
        </is>
      </c>
      <c r="E11" s="3" t="inlineStr"/>
      <c r="F11" s="3" t="inlineStr"/>
      <c r="G11" s="3" t="n">
        <v>11201</v>
      </c>
      <c r="H11" s="3" t="inlineStr">
        <is>
          <t>少领</t>
        </is>
      </c>
      <c r="I11" s="4" t="n">
        <v>1.808</v>
      </c>
      <c r="J11" s="4" t="n"/>
    </row>
    <row r="12">
      <c r="A12" s="3" t="inlineStr">
        <is>
          <t>开关插座面板</t>
        </is>
      </c>
      <c r="B12" s="3" t="inlineStr">
        <is>
          <t>二位联体面板(边框)</t>
        </is>
      </c>
      <c r="C12" s="3" t="inlineStr"/>
      <c r="D12" s="3" t="inlineStr">
        <is>
          <t>个</t>
        </is>
      </c>
      <c r="E12" s="3" t="inlineStr"/>
      <c r="F12" s="3" t="inlineStr"/>
      <c r="G12" s="3" t="n">
        <v>5890</v>
      </c>
      <c r="H12" s="3" t="inlineStr">
        <is>
          <t>少领</t>
        </is>
      </c>
      <c r="I12" s="4" t="n">
        <v>3.5482</v>
      </c>
      <c r="J12" s="4" t="n"/>
    </row>
    <row r="13">
      <c r="A13" s="3" t="inlineStr">
        <is>
          <t>开关插座面板</t>
        </is>
      </c>
      <c r="B13" s="3" t="inlineStr">
        <is>
          <t>三位联体面板(边框)</t>
        </is>
      </c>
      <c r="C13" s="3" t="inlineStr"/>
      <c r="D13" s="3" t="inlineStr">
        <is>
          <t>个</t>
        </is>
      </c>
      <c r="E13" s="3" t="inlineStr"/>
      <c r="F13" s="3" t="inlineStr"/>
      <c r="G13" s="3" t="n">
        <v>1036</v>
      </c>
      <c r="H13" s="3" t="inlineStr">
        <is>
          <t>少领</t>
        </is>
      </c>
      <c r="I13" s="4" t="n">
        <v>6.4297</v>
      </c>
      <c r="J13" s="4" t="n"/>
    </row>
    <row r="14">
      <c r="A14" s="3" t="inlineStr">
        <is>
          <t>开关插座面板</t>
        </is>
      </c>
      <c r="B14" s="3" t="inlineStr">
        <is>
          <t>单联体边框（边框颜色更换）</t>
        </is>
      </c>
      <c r="C14" s="3" t="inlineStr"/>
      <c r="D14" s="3" t="inlineStr">
        <is>
          <t>个</t>
        </is>
      </c>
      <c r="E14" s="3" t="inlineStr"/>
      <c r="F14" s="3" t="inlineStr"/>
      <c r="G14" s="3" t="n">
        <v>11201</v>
      </c>
      <c r="H14" s="3" t="inlineStr">
        <is>
          <t>少领</t>
        </is>
      </c>
      <c r="I14" s="4" t="n">
        <v>0.791</v>
      </c>
      <c r="J14" s="4" t="n"/>
    </row>
    <row r="15">
      <c r="A15" s="3" t="inlineStr">
        <is>
          <t>开关插座面板</t>
        </is>
      </c>
      <c r="B15" s="3" t="inlineStr">
        <is>
          <t>二位联体面板(边框颜色更换)</t>
        </is>
      </c>
      <c r="C15" s="3" t="inlineStr"/>
      <c r="D15" s="3" t="inlineStr">
        <is>
          <t>个</t>
        </is>
      </c>
      <c r="E15" s="3" t="inlineStr"/>
      <c r="F15" s="3" t="inlineStr"/>
      <c r="G15" s="3" t="n">
        <v>5890</v>
      </c>
      <c r="H15" s="3" t="inlineStr">
        <is>
          <t>少领</t>
        </is>
      </c>
      <c r="I15" s="4" t="n">
        <v>0.7796999999999999</v>
      </c>
      <c r="J15" s="4" t="n"/>
    </row>
    <row r="16">
      <c r="A16" s="3" t="inlineStr">
        <is>
          <t>开关插座面板</t>
        </is>
      </c>
      <c r="B16" s="3" t="inlineStr">
        <is>
          <t>三位联体面板(边框颜色更换)</t>
        </is>
      </c>
      <c r="C16" s="3" t="inlineStr"/>
      <c r="D16" s="3" t="inlineStr">
        <is>
          <t>个</t>
        </is>
      </c>
      <c r="E16" s="3" t="inlineStr"/>
      <c r="F16" s="3" t="inlineStr"/>
      <c r="G16" s="3" t="n">
        <v>1036</v>
      </c>
      <c r="H16" s="3" t="inlineStr">
        <is>
          <t>少领</t>
        </is>
      </c>
      <c r="I16" s="4" t="n">
        <v>0.7796999999999999</v>
      </c>
      <c r="J16" s="4" t="n"/>
    </row>
    <row r="17">
      <c r="A17" s="3" t="inlineStr">
        <is>
          <t>HDPE管材</t>
        </is>
      </c>
      <c r="B17" s="3" t="inlineStr">
        <is>
          <t>HDPE管材</t>
        </is>
      </c>
      <c r="C17" s="3" t="n">
        <v>32</v>
      </c>
      <c r="D17" s="3" t="inlineStr">
        <is>
          <t>米</t>
        </is>
      </c>
      <c r="E17" s="3" t="inlineStr"/>
      <c r="F17" s="3" t="inlineStr"/>
      <c r="G17" s="3" t="n">
        <v>290.53</v>
      </c>
      <c r="H17" s="3" t="inlineStr">
        <is>
          <t>少领</t>
        </is>
      </c>
      <c r="I17" s="4" t="n">
        <v>35.15</v>
      </c>
      <c r="J17" s="4" t="n"/>
    </row>
    <row r="18">
      <c r="A18" s="3" t="inlineStr">
        <is>
          <t>HDPE管材</t>
        </is>
      </c>
      <c r="B18" s="3" t="inlineStr">
        <is>
          <t>HDPE管材</t>
        </is>
      </c>
      <c r="C18" s="3" t="n">
        <v>50</v>
      </c>
      <c r="D18" s="3" t="inlineStr">
        <is>
          <t>米</t>
        </is>
      </c>
      <c r="E18" s="3" t="inlineStr"/>
      <c r="F18" s="3" t="inlineStr"/>
      <c r="G18" s="3" t="n">
        <v>2513.77</v>
      </c>
      <c r="H18" s="3" t="inlineStr">
        <is>
          <t>少领</t>
        </is>
      </c>
      <c r="I18" s="4" t="n">
        <v>35.15</v>
      </c>
      <c r="J18" s="4" t="n"/>
    </row>
    <row r="19">
      <c r="A19" s="3" t="inlineStr">
        <is>
          <t>HDPE管材</t>
        </is>
      </c>
      <c r="B19" s="3" t="inlineStr">
        <is>
          <t>HDPE管材</t>
        </is>
      </c>
      <c r="C19" s="3" t="n">
        <v>75</v>
      </c>
      <c r="D19" s="3" t="inlineStr">
        <is>
          <t>米</t>
        </is>
      </c>
      <c r="E19" s="3" t="inlineStr"/>
      <c r="F19" s="3" t="inlineStr"/>
      <c r="G19" s="3" t="n">
        <v>676.5599999999999</v>
      </c>
      <c r="H19" s="3" t="inlineStr">
        <is>
          <t>少领</t>
        </is>
      </c>
      <c r="I19" s="4" t="n">
        <v>35.15</v>
      </c>
      <c r="J19" s="4" t="n"/>
    </row>
    <row r="20">
      <c r="A20" s="3" t="inlineStr">
        <is>
          <t>HDPE管材</t>
        </is>
      </c>
      <c r="B20" s="3" t="inlineStr">
        <is>
          <t>HDPE管材</t>
        </is>
      </c>
      <c r="C20" s="3" t="n">
        <v>110</v>
      </c>
      <c r="D20" s="3" t="inlineStr">
        <is>
          <t>米</t>
        </is>
      </c>
      <c r="E20" s="3" t="inlineStr"/>
      <c r="F20" s="3" t="inlineStr"/>
      <c r="G20" s="3" t="n">
        <v>1597.72</v>
      </c>
      <c r="H20" s="3" t="inlineStr">
        <is>
          <t>少领</t>
        </is>
      </c>
      <c r="I20" s="4" t="n">
        <v>35.15</v>
      </c>
      <c r="J20" s="4" t="n"/>
    </row>
    <row r="21">
      <c r="I21" s="4" t="inlineStr"/>
      <c r="J21" s="4" t="n"/>
    </row>
    <row r="22">
      <c r="A22" s="5" t="inlineStr">
        <is>
          <t>合计</t>
        </is>
      </c>
      <c r="B22" s="6" t="n"/>
      <c r="C22" s="6" t="n"/>
      <c r="D22" s="5" t="n">
        <v>6336</v>
      </c>
      <c r="E22" s="7" t="n">
        <v>93688.92999999999</v>
      </c>
      <c r="F22" s="6" t="n"/>
      <c r="G22" s="6" t="n"/>
      <c r="H22" s="6" t="n"/>
      <c r="I22" s="4" t="inlineStr"/>
      <c r="J22" s="4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:J1"/>
    </sheetView>
  </sheetViews>
  <sheetFormatPr baseColWidth="8" defaultColWidth="9" defaultRowHeight="14.4"/>
  <cols>
    <col width="14" customWidth="1" min="9" max="9"/>
    <col width="45" customWidth="1" min="10" max="10"/>
  </cols>
  <sheetData>
    <row r="1" ht="17.4" customHeight="1">
      <c r="A1" s="1" t="inlineStr">
        <is>
          <t>超领明细 — 实际领用超过应领总量(需从结算中扣回)</t>
        </is>
      </c>
    </row>
    <row r="3" ht="24" customHeight="1">
      <c r="A3" s="2" t="inlineStr">
        <is>
          <t>材料类别</t>
        </is>
      </c>
      <c r="B3" s="2" t="inlineStr">
        <is>
          <t>材料名称</t>
        </is>
      </c>
      <c r="C3" s="2" t="inlineStr">
        <is>
          <t>单位</t>
        </is>
      </c>
      <c r="D3" s="2" t="inlineStr">
        <is>
          <t>应领总量(含损耗)</t>
        </is>
      </c>
      <c r="E3" s="2" t="inlineStr">
        <is>
          <t>实际领用(四方单)</t>
        </is>
      </c>
      <c r="F3" s="2" t="inlineStr">
        <is>
          <t>超领数量</t>
        </is>
      </c>
      <c r="G3" s="2" t="inlineStr">
        <is>
          <t>预估金额(含税)</t>
        </is>
      </c>
      <c r="H3" s="2" t="inlineStr">
        <is>
          <t>说明</t>
        </is>
      </c>
      <c r="I3" s="2" t="inlineStr">
        <is>
          <t>单价(含税)</t>
        </is>
      </c>
      <c r="J3" s="2" t="inlineStr">
        <is>
          <t>数量明细说明</t>
        </is>
      </c>
    </row>
    <row r="4">
      <c r="A4" s="3" t="inlineStr">
        <is>
          <t>灯具</t>
        </is>
      </c>
      <c r="B4" s="3" t="inlineStr">
        <is>
          <t>LED灯带/户内</t>
        </is>
      </c>
      <c r="C4" s="3" t="inlineStr">
        <is>
          <t>PAK544148</t>
        </is>
      </c>
      <c r="D4" s="3" t="inlineStr">
        <is>
          <t>m</t>
        </is>
      </c>
      <c r="E4" s="3" t="inlineStr"/>
      <c r="F4" s="3" t="inlineStr"/>
      <c r="G4" s="3" t="n">
        <v>10136.63</v>
      </c>
      <c r="H4" s="3" t="inlineStr">
        <is>
          <t>超领</t>
        </is>
      </c>
      <c r="I4" s="4" t="n">
        <v>17.32</v>
      </c>
      <c r="J4" s="4" t="n"/>
    </row>
    <row r="5">
      <c r="A5" s="3" t="inlineStr">
        <is>
          <t>灯具</t>
        </is>
      </c>
      <c r="B5" s="3" t="inlineStr">
        <is>
          <t>LED厨卫灯/厨房</t>
        </is>
      </c>
      <c r="C5" s="3" t="inlineStr">
        <is>
          <t>PAK563077</t>
        </is>
      </c>
      <c r="D5" s="3" t="inlineStr">
        <is>
          <t xml:space="preserve">个 </t>
        </is>
      </c>
      <c r="E5" s="3" t="inlineStr"/>
      <c r="F5" s="3" t="inlineStr"/>
      <c r="G5" s="3" t="n">
        <v>350</v>
      </c>
      <c r="H5" s="3" t="inlineStr">
        <is>
          <t>超领</t>
        </is>
      </c>
      <c r="I5" s="4" t="n">
        <v>50.16</v>
      </c>
      <c r="J5" s="4" t="n"/>
    </row>
    <row r="6">
      <c r="A6" s="3" t="inlineStr">
        <is>
          <t>灯具</t>
        </is>
      </c>
      <c r="B6" s="3" t="inlineStr">
        <is>
          <t>LED嵌入式射灯/客厅</t>
        </is>
      </c>
      <c r="C6" s="3" t="inlineStr">
        <is>
          <t>PAK565668</t>
        </is>
      </c>
      <c r="D6" s="3" t="inlineStr">
        <is>
          <t xml:space="preserve">个 </t>
        </is>
      </c>
      <c r="E6" s="3" t="inlineStr"/>
      <c r="F6" s="3" t="inlineStr"/>
      <c r="G6" s="3" t="n">
        <v>977</v>
      </c>
      <c r="H6" s="3" t="inlineStr">
        <is>
          <t>超领</t>
        </is>
      </c>
      <c r="I6" s="4" t="n">
        <v>9.74</v>
      </c>
      <c r="J6" s="4" t="n"/>
    </row>
    <row r="7">
      <c r="A7" s="3" t="inlineStr">
        <is>
          <t>灯具</t>
        </is>
      </c>
      <c r="B7" s="3" t="inlineStr">
        <is>
          <t>LED吸顶灯/主卧、次卧、客厅</t>
        </is>
      </c>
      <c r="C7" s="3" t="inlineStr">
        <is>
          <t>PAK542936</t>
        </is>
      </c>
      <c r="D7" s="3" t="inlineStr">
        <is>
          <t xml:space="preserve">个 </t>
        </is>
      </c>
      <c r="E7" s="3" t="inlineStr"/>
      <c r="F7" s="3" t="inlineStr"/>
      <c r="G7" s="3" t="n">
        <v>1710</v>
      </c>
      <c r="H7" s="3" t="inlineStr">
        <is>
          <t>超领</t>
        </is>
      </c>
      <c r="I7" s="4" t="n">
        <v>4.1</v>
      </c>
      <c r="J7" s="4" t="n"/>
    </row>
    <row r="8">
      <c r="A8" s="3" t="inlineStr">
        <is>
          <t>灯具</t>
        </is>
      </c>
      <c r="B8" s="3" t="inlineStr">
        <is>
          <t>LED嵌入式感应筒灯/玄关</t>
        </is>
      </c>
      <c r="C8" s="3" t="inlineStr">
        <is>
          <t>PAK560452</t>
        </is>
      </c>
      <c r="D8" s="3" t="inlineStr">
        <is>
          <t xml:space="preserve">个 </t>
        </is>
      </c>
      <c r="E8" s="3" t="inlineStr"/>
      <c r="F8" s="3" t="inlineStr"/>
      <c r="G8" s="3" t="n">
        <v>350</v>
      </c>
      <c r="H8" s="3" t="inlineStr">
        <is>
          <t>超领</t>
        </is>
      </c>
      <c r="I8" s="4" t="n">
        <v>27.53</v>
      </c>
      <c r="J8" s="4" t="n"/>
    </row>
    <row r="9">
      <c r="A9" s="3" t="inlineStr">
        <is>
          <t>灯具</t>
        </is>
      </c>
      <c r="B9" s="3" t="inlineStr">
        <is>
          <t>LED嵌入式筒灯/玄关、过道</t>
        </is>
      </c>
      <c r="C9" s="3" t="inlineStr">
        <is>
          <t>PAK560153（PAK560246）</t>
        </is>
      </c>
      <c r="D9" s="3" t="inlineStr">
        <is>
          <t xml:space="preserve">个 </t>
        </is>
      </c>
      <c r="E9" s="3" t="inlineStr"/>
      <c r="F9" s="3" t="inlineStr"/>
      <c r="G9" s="3" t="n">
        <v>1740</v>
      </c>
      <c r="H9" s="3" t="inlineStr">
        <is>
          <t>超领</t>
        </is>
      </c>
      <c r="I9" s="4" t="n">
        <v>9.51</v>
      </c>
      <c r="J9" s="4" t="n"/>
    </row>
    <row r="10">
      <c r="A10" s="3" t="inlineStr">
        <is>
          <t>灯具</t>
        </is>
      </c>
      <c r="B10" s="3" t="inlineStr">
        <is>
          <t>LED磁吸格栅直射射灯/公区</t>
        </is>
      </c>
      <c r="C10" s="3" t="inlineStr">
        <is>
          <t>PAK564233</t>
        </is>
      </c>
      <c r="D10" s="3" t="inlineStr">
        <is>
          <t>套</t>
        </is>
      </c>
      <c r="E10" s="3" t="inlineStr"/>
      <c r="F10" s="3" t="inlineStr"/>
      <c r="G10" s="3" t="n">
        <v>68</v>
      </c>
      <c r="H10" s="3" t="inlineStr">
        <is>
          <t>超领</t>
        </is>
      </c>
      <c r="I10" s="4" t="n">
        <v>204.4</v>
      </c>
      <c r="J10" s="4" t="n"/>
    </row>
    <row r="11">
      <c r="A11" s="3" t="inlineStr">
        <is>
          <t>灯具</t>
        </is>
      </c>
      <c r="B11" s="3" t="inlineStr">
        <is>
          <t>LED嵌入式格栅射灯/公区</t>
        </is>
      </c>
      <c r="C11" s="3" t="inlineStr">
        <is>
          <t>PAK564231</t>
        </is>
      </c>
      <c r="D11" s="3" t="inlineStr">
        <is>
          <t>套</t>
        </is>
      </c>
      <c r="E11" s="3" t="inlineStr"/>
      <c r="F11" s="3" t="inlineStr"/>
      <c r="G11" s="3" t="n">
        <v>50</v>
      </c>
      <c r="H11" s="3" t="inlineStr">
        <is>
          <t>超领</t>
        </is>
      </c>
      <c r="I11" s="4" t="n">
        <v>268.49</v>
      </c>
      <c r="J11" s="4" t="n"/>
    </row>
    <row r="12">
      <c r="A12" s="3" t="inlineStr">
        <is>
          <t>灯具</t>
        </is>
      </c>
      <c r="B12" s="3" t="inlineStr">
        <is>
          <t>磁性导轨/公区</t>
        </is>
      </c>
      <c r="C12" s="3" t="inlineStr">
        <is>
          <t>PAK-LED-L501W-30W-30-D0F</t>
        </is>
      </c>
      <c r="D12" s="3" t="inlineStr">
        <is>
          <t>m</t>
        </is>
      </c>
      <c r="E12" s="3" t="inlineStr"/>
      <c r="F12" s="3" t="inlineStr"/>
      <c r="G12" s="3" t="n">
        <v>92</v>
      </c>
      <c r="H12" s="3" t="inlineStr">
        <is>
          <t>超领</t>
        </is>
      </c>
      <c r="I12" s="4" t="n">
        <v>129.91</v>
      </c>
      <c r="J12" s="4" t="n"/>
    </row>
    <row r="13">
      <c r="A13" s="3" t="inlineStr">
        <is>
          <t>灯具</t>
        </is>
      </c>
      <c r="B13" s="3" t="inlineStr">
        <is>
          <t>LED明装射灯 10W4000K24度圆形白色</t>
        </is>
      </c>
      <c r="C13" s="3" t="inlineStr">
        <is>
          <t>PAK415091</t>
        </is>
      </c>
      <c r="D13" s="3" t="inlineStr">
        <is>
          <t>套</t>
        </is>
      </c>
      <c r="E13" s="3" t="inlineStr"/>
      <c r="F13" s="3" t="inlineStr"/>
      <c r="G13" s="3" t="n">
        <v>20</v>
      </c>
      <c r="H13" s="3" t="inlineStr">
        <is>
          <t>超领</t>
        </is>
      </c>
      <c r="I13" s="4" t="n">
        <v>173.22</v>
      </c>
      <c r="J13" s="4" t="n"/>
    </row>
    <row r="14">
      <c r="A14" s="3" t="inlineStr">
        <is>
          <t>灯具</t>
        </is>
      </c>
      <c r="B14" s="3" t="inlineStr">
        <is>
          <t>三线导轨 白色 吸顶式</t>
        </is>
      </c>
      <c r="C14" s="3" t="inlineStr">
        <is>
          <t>PAK-LED-JD-L301W-20W-30-C1B</t>
        </is>
      </c>
      <c r="D14" s="3" t="inlineStr">
        <is>
          <t>米</t>
        </is>
      </c>
      <c r="E14" s="3" t="inlineStr"/>
      <c r="F14" s="3" t="inlineStr"/>
      <c r="G14" s="3" t="n">
        <v>0</v>
      </c>
      <c r="H14" s="3" t="inlineStr">
        <is>
          <t>超领</t>
        </is>
      </c>
      <c r="I14" s="4" t="n">
        <v>38.44</v>
      </c>
      <c r="J14" s="4" t="n"/>
    </row>
    <row r="15">
      <c r="A15" s="3" t="inlineStr">
        <is>
          <t>灯具</t>
        </is>
      </c>
      <c r="B15" s="3" t="inlineStr">
        <is>
          <t>LED射灯 7W3500K25度75mm白圆边</t>
        </is>
      </c>
      <c r="C15" s="3" t="inlineStr">
        <is>
          <t>PAK-LED-S622-3WB3-30-W</t>
        </is>
      </c>
      <c r="D15" s="3" t="inlineStr">
        <is>
          <t>个</t>
        </is>
      </c>
      <c r="E15" s="3" t="inlineStr"/>
      <c r="F15" s="3" t="inlineStr"/>
      <c r="G15" s="3" t="n">
        <v>0</v>
      </c>
      <c r="H15" s="3" t="inlineStr">
        <is>
          <t>超领</t>
        </is>
      </c>
      <c r="I15" s="4" t="n">
        <v>82.28</v>
      </c>
      <c r="J15" s="4" t="n"/>
    </row>
    <row r="16">
      <c r="A16" s="3" t="inlineStr">
        <is>
          <t>开关插座面板</t>
        </is>
      </c>
      <c r="B16" s="3" t="inlineStr">
        <is>
          <t>感应地脚灯</t>
        </is>
      </c>
      <c r="C16" s="3" t="inlineStr"/>
      <c r="D16" s="3" t="inlineStr">
        <is>
          <t>个</t>
        </is>
      </c>
      <c r="E16" s="3" t="inlineStr"/>
      <c r="F16" s="3" t="inlineStr"/>
      <c r="G16" s="3" t="n">
        <v>690</v>
      </c>
      <c r="H16" s="3" t="inlineStr">
        <is>
          <t>超领</t>
        </is>
      </c>
      <c r="I16" s="4" t="n">
        <v>42.9287</v>
      </c>
      <c r="J16" s="4" t="n"/>
    </row>
    <row r="17">
      <c r="A17" s="3" t="inlineStr">
        <is>
          <t>开关插座面板</t>
        </is>
      </c>
      <c r="B17" s="3" t="inlineStr">
        <is>
          <t>一位单极开关</t>
        </is>
      </c>
      <c r="C17" s="3" t="inlineStr"/>
      <c r="D17" s="3" t="inlineStr">
        <is>
          <t>个</t>
        </is>
      </c>
      <c r="E17" s="3" t="inlineStr"/>
      <c r="F17" s="3" t="inlineStr"/>
      <c r="G17" s="3" t="n">
        <v>577</v>
      </c>
      <c r="H17" s="3" t="inlineStr">
        <is>
          <t>超领</t>
        </is>
      </c>
      <c r="I17" s="4" t="n">
        <v>11.1305</v>
      </c>
      <c r="J17" s="4" t="n"/>
    </row>
    <row r="18">
      <c r="A18" s="3" t="inlineStr">
        <is>
          <t>开关插座面板</t>
        </is>
      </c>
      <c r="B18" s="3" t="inlineStr">
        <is>
          <t>一位双控开关</t>
        </is>
      </c>
      <c r="C18" s="3" t="inlineStr"/>
      <c r="D18" s="3" t="inlineStr">
        <is>
          <t>个</t>
        </is>
      </c>
      <c r="E18" s="3" t="inlineStr"/>
      <c r="F18" s="3" t="inlineStr"/>
      <c r="G18" s="3" t="n">
        <v>1370</v>
      </c>
      <c r="H18" s="3" t="inlineStr">
        <is>
          <t>超领</t>
        </is>
      </c>
      <c r="I18" s="4" t="n">
        <v>12.9046</v>
      </c>
      <c r="J18" s="4" t="n"/>
    </row>
    <row r="19">
      <c r="A19" s="3" t="inlineStr">
        <is>
          <t>开关插座面板</t>
        </is>
      </c>
      <c r="B19" s="3" t="inlineStr">
        <is>
          <t>二位单极开关</t>
        </is>
      </c>
      <c r="C19" s="3" t="inlineStr"/>
      <c r="D19" s="3" t="inlineStr">
        <is>
          <t>个</t>
        </is>
      </c>
      <c r="E19" s="3" t="inlineStr"/>
      <c r="F19" s="3" t="inlineStr"/>
      <c r="G19" s="3" t="n">
        <v>1385</v>
      </c>
      <c r="H19" s="3" t="inlineStr">
        <is>
          <t>超领</t>
        </is>
      </c>
      <c r="I19" s="4" t="n">
        <v>15.3454</v>
      </c>
      <c r="J19" s="4" t="n"/>
    </row>
    <row r="20">
      <c r="A20" s="3" t="inlineStr">
        <is>
          <t>开关插座面板</t>
        </is>
      </c>
      <c r="B20" s="3" t="inlineStr">
        <is>
          <t>三位双控开关</t>
        </is>
      </c>
      <c r="C20" s="3" t="inlineStr"/>
      <c r="D20" s="3" t="inlineStr">
        <is>
          <t>个</t>
        </is>
      </c>
      <c r="E20" s="3" t="inlineStr"/>
      <c r="F20" s="3" t="inlineStr"/>
      <c r="G20" s="3" t="n">
        <v>1390</v>
      </c>
      <c r="H20" s="3" t="inlineStr">
        <is>
          <t>超领</t>
        </is>
      </c>
      <c r="I20" s="4" t="n">
        <v>22.5435</v>
      </c>
      <c r="J20" s="4" t="n"/>
    </row>
    <row r="21">
      <c r="A21" s="3" t="inlineStr">
        <is>
          <t>开关插座面板</t>
        </is>
      </c>
      <c r="B21" s="3" t="inlineStr">
        <is>
          <t>三孔插座</t>
        </is>
      </c>
      <c r="C21" s="3" t="inlineStr"/>
      <c r="D21" s="3" t="inlineStr">
        <is>
          <t>个</t>
        </is>
      </c>
      <c r="E21" s="3" t="inlineStr"/>
      <c r="F21" s="3" t="inlineStr"/>
      <c r="G21" s="3" t="n">
        <v>1030</v>
      </c>
      <c r="H21" s="3" t="inlineStr">
        <is>
          <t>超领</t>
        </is>
      </c>
      <c r="I21" s="4" t="n">
        <v>11.7972</v>
      </c>
      <c r="J21" s="4" t="n"/>
    </row>
    <row r="22">
      <c r="A22" s="3" t="inlineStr">
        <is>
          <t>开关插座面板</t>
        </is>
      </c>
      <c r="B22" s="3" t="inlineStr">
        <is>
          <t>16A带开关三扁插座</t>
        </is>
      </c>
      <c r="C22" s="3" t="inlineStr"/>
      <c r="D22" s="3" t="inlineStr">
        <is>
          <t>个</t>
        </is>
      </c>
      <c r="E22" s="3" t="inlineStr"/>
      <c r="F22" s="3" t="inlineStr"/>
      <c r="G22" s="3" t="n">
        <v>0</v>
      </c>
      <c r="H22" s="3" t="inlineStr">
        <is>
          <t>超领</t>
        </is>
      </c>
      <c r="I22" s="4" t="n">
        <v>18.665</v>
      </c>
      <c r="J22" s="4" t="n"/>
    </row>
    <row r="23">
      <c r="A23" s="3" t="inlineStr">
        <is>
          <t>开关插座面板</t>
        </is>
      </c>
      <c r="B23" s="3" t="inlineStr">
        <is>
          <t>10A二三插插座</t>
        </is>
      </c>
      <c r="C23" s="3" t="inlineStr"/>
      <c r="D23" s="3" t="inlineStr">
        <is>
          <t>个</t>
        </is>
      </c>
      <c r="E23" s="3" t="inlineStr"/>
      <c r="F23" s="3" t="inlineStr"/>
      <c r="G23" s="3" t="n">
        <v>12079</v>
      </c>
      <c r="H23" s="3" t="inlineStr">
        <is>
          <t>超领</t>
        </is>
      </c>
      <c r="I23" s="4" t="n">
        <v>11.7972</v>
      </c>
      <c r="J23" s="4" t="n"/>
    </row>
    <row r="24">
      <c r="A24" s="3" t="inlineStr">
        <is>
          <t>开关插座面板</t>
        </is>
      </c>
      <c r="B24" s="3" t="inlineStr">
        <is>
          <t>二三插带USB充电插座</t>
        </is>
      </c>
      <c r="C24" s="3" t="inlineStr"/>
      <c r="D24" s="3" t="inlineStr">
        <is>
          <t>个</t>
        </is>
      </c>
      <c r="E24" s="3" t="inlineStr"/>
      <c r="F24" s="3" t="inlineStr"/>
      <c r="G24" s="3" t="n">
        <v>977</v>
      </c>
      <c r="H24" s="3" t="inlineStr">
        <is>
          <t>超领</t>
        </is>
      </c>
      <c r="I24" s="4" t="n">
        <v>56.3305</v>
      </c>
      <c r="J24" s="4" t="n"/>
    </row>
    <row r="25">
      <c r="A25" s="3" t="inlineStr">
        <is>
          <t>开关插座面板</t>
        </is>
      </c>
      <c r="B25" s="3" t="inlineStr">
        <is>
          <t>10A连体带开关二三插</t>
        </is>
      </c>
      <c r="C25" s="3" t="inlineStr"/>
      <c r="D25" s="3" t="inlineStr">
        <is>
          <t>个</t>
        </is>
      </c>
      <c r="E25" s="3" t="inlineStr"/>
      <c r="F25" s="3" t="inlineStr"/>
      <c r="G25" s="3" t="n">
        <v>10</v>
      </c>
      <c r="H25" s="3" t="inlineStr">
        <is>
          <t>超领</t>
        </is>
      </c>
      <c r="I25" s="4" t="n">
        <v>15.6731</v>
      </c>
      <c r="J25" s="4" t="n"/>
    </row>
    <row r="26">
      <c r="A26" s="3" t="inlineStr">
        <is>
          <t>开关插座面板</t>
        </is>
      </c>
      <c r="B26" s="3" t="inlineStr">
        <is>
          <t>空白面板</t>
        </is>
      </c>
      <c r="C26" s="3" t="inlineStr"/>
      <c r="D26" s="3" t="inlineStr">
        <is>
          <t>个</t>
        </is>
      </c>
      <c r="E26" s="3" t="inlineStr"/>
      <c r="F26" s="3" t="inlineStr"/>
      <c r="G26" s="3" t="n">
        <v>1710</v>
      </c>
      <c r="H26" s="3" t="inlineStr">
        <is>
          <t>超领</t>
        </is>
      </c>
      <c r="I26" s="4" t="n">
        <v>7.0399</v>
      </c>
      <c r="J26" s="4" t="n"/>
    </row>
    <row r="27">
      <c r="A27" s="3" t="inlineStr">
        <is>
          <t>开关插座面板</t>
        </is>
      </c>
      <c r="B27" s="3" t="inlineStr">
        <is>
          <t>电话电脑插</t>
        </is>
      </c>
      <c r="C27" s="3" t="inlineStr"/>
      <c r="D27" s="3" t="inlineStr">
        <is>
          <t>个</t>
        </is>
      </c>
      <c r="E27" s="3" t="inlineStr"/>
      <c r="F27" s="3" t="inlineStr"/>
      <c r="G27" s="3" t="n">
        <v>1710</v>
      </c>
      <c r="H27" s="3" t="inlineStr">
        <is>
          <t>超领</t>
        </is>
      </c>
      <c r="I27" s="4" t="n">
        <v>31.6287</v>
      </c>
      <c r="J27" s="4" t="n"/>
    </row>
    <row r="28">
      <c r="A28" s="3" t="inlineStr">
        <is>
          <t>开关插座面板</t>
        </is>
      </c>
      <c r="B28" s="3" t="inlineStr">
        <is>
          <t>呼叫开关(报警开关)</t>
        </is>
      </c>
      <c r="C28" s="3" t="inlineStr"/>
      <c r="D28" s="3" t="inlineStr">
        <is>
          <t>个</t>
        </is>
      </c>
      <c r="E28" s="3" t="inlineStr"/>
      <c r="F28" s="3" t="inlineStr"/>
      <c r="G28" s="3" t="n">
        <v>0</v>
      </c>
      <c r="H28" s="3" t="inlineStr">
        <is>
          <t>超领</t>
        </is>
      </c>
      <c r="I28" s="4" t="n">
        <v>28.745</v>
      </c>
      <c r="J28" s="4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2026-07-29T03:45:00Z</dcterms:created>
  <dcterms:modified xmlns:dcterms="http://purl.org/dc/terms/" xmlns:xsi="http://www.w3.org/2001/XMLSchema-instance" xsi:type="dcterms:W3CDTF">2026-07-29T04:05:19Z</dcterms:modified>
  <cp:lastModifiedBy>ぷ靜群</cp:lastModifiedBy>
</cp:coreProperties>
</file>

<file path=docProps/custom.xml><?xml version="1.0" encoding="utf-8"?>
<Properties xmlns="http://schemas.openxmlformats.org/officeDocument/2006/custom-properties">
  <property name="KSOReadingLayout" fmtid="{D5CDD505-2E9C-101B-9397-08002B2CF9AE}" pid="2">
    <vt:bool xmlns:vt="http://schemas.openxmlformats.org/officeDocument/2006/docPropsVTypes">1</vt:bool>
  </property>
  <property name="ICV" fmtid="{D5CDD505-2E9C-101B-9397-08002B2CF9AE}" pid="3">
    <vt:lpwstr xmlns:vt="http://schemas.openxmlformats.org/officeDocument/2006/docPropsVTypes">579E1BB0F66644138F525CF25C148A94_12</vt:lpwstr>
  </property>
  <property name="KSOProductBuildVer" fmtid="{D5CDD505-2E9C-101B-9397-08002B2CF9AE}" pid="4">
    <vt:lpwstr xmlns:vt="http://schemas.openxmlformats.org/officeDocument/2006/docPropsVTypes">2052-12.1.0.26885</vt:lpwstr>
  </property>
  <property name="CalculationRule" fmtid="{D5CDD505-2E9C-101B-9397-08002B2CF9AE}" pid="5">
    <vt:i4 xmlns:vt="http://schemas.openxmlformats.org/officeDocument/2006/docPropsVTypes">0</vt:i4>
  </property>
</Properties>
</file>