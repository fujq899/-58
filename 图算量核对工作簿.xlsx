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01-电线电缆" sheetId="2" state="visible" r:id="rId2"/>
    <sheet xmlns:r="http://schemas.openxmlformats.org/officeDocument/2006/relationships" name="02-强弱电(户内)" sheetId="3" state="visible" r:id="rId3"/>
    <sheet xmlns:r="http://schemas.openxmlformats.org/officeDocument/2006/relationships" name="03-地暖系统" sheetId="4" state="visible" r:id="rId4"/>
    <sheet xmlns:r="http://schemas.openxmlformats.org/officeDocument/2006/relationships" name="04-排水管" sheetId="5" state="visible" r:id="rId5"/>
    <sheet xmlns:r="http://schemas.openxmlformats.org/officeDocument/2006/relationships" name="05-墙面抹灰" sheetId="6" state="visible" r:id="rId6"/>
    <sheet xmlns:r="http://schemas.openxmlformats.org/officeDocument/2006/relationships" name="06-瓷砖(甲供)" sheetId="7" state="visible" r:id="rId7"/>
    <sheet xmlns:r="http://schemas.openxmlformats.org/officeDocument/2006/relationships" name="07-装修材料(面积类)" sheetId="8" state="visible" r:id="rId8"/>
    <sheet xmlns:r="http://schemas.openxmlformats.org/officeDocument/2006/relationships" name="08-金属型材" sheetId="9" state="visible" r:id="rId9"/>
    <sheet xmlns:r="http://schemas.openxmlformats.org/officeDocument/2006/relationships" name="09-石材" sheetId="10" state="visible" r:id="rId10"/>
    <sheet xmlns:r="http://schemas.openxmlformats.org/officeDocument/2006/relationships" name="10-强弱电(公区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青羊58亩项目 -- 一标段 图算量核对工作簿</t>
        </is>
      </c>
    </row>
    <row r="3">
      <c r="A3" s="2" t="inlineStr">
        <is>
          <t>操作说明</t>
        </is>
      </c>
    </row>
    <row r="4">
      <c r="A4" t="inlineStr">
        <is>
          <t>1. 黄色单元格 = 需要在CAD图纸上量取后填入的[图算量]</t>
        </is>
      </c>
    </row>
    <row r="5">
      <c r="A5" t="inlineStr">
        <is>
          <t>2. 蓝色单元格 = 已预填的BOQ数据</t>
        </is>
      </c>
    </row>
    <row r="6">
      <c r="A6" t="inlineStr">
        <is>
          <t>3. 差异率 &gt; +-5% 标注"复查", 2~5% 标注"关注", &lt;2% 标注"合理"</t>
        </is>
      </c>
    </row>
    <row r="8">
      <c r="A8" t="inlineStr">
        <is>
          <t>户型:A1(34) B1(68) B2(17) C(17) D1(34) D2(15) D3(2) D4(2) E(28)</t>
        </is>
      </c>
    </row>
    <row r="10">
      <c r="A10" t="inlineStr">
        <is>
          <t>流程:CAD打开户型图 -&gt; DI量长度/面积 -&gt; 填入黄色格 -&gt; 自动比对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" t="inlineStr">
        <is>
          <t>序号</t>
        </is>
      </c>
      <c r="B1" s="3" t="inlineStr">
        <is>
          <t>材料名称</t>
        </is>
      </c>
      <c r="C1" s="3" t="inlineStr">
        <is>
          <t>规格型号</t>
        </is>
      </c>
      <c r="D1" s="3" t="inlineStr">
        <is>
          <t>单位</t>
        </is>
      </c>
      <c r="E1" s="3" t="inlineStr">
        <is>
          <t>户型</t>
        </is>
      </c>
      <c r="F1" s="3" t="inlineStr">
        <is>
          <t>户数</t>
        </is>
      </c>
      <c r="G1" s="3" t="inlineStr">
        <is>
          <t>BOQ每户量(m)</t>
        </is>
      </c>
      <c r="H1" s="3" t="inlineStr">
        <is>
          <t>图算每户量(m)</t>
        </is>
      </c>
      <c r="I1" s="3" t="inlineStr">
        <is>
          <t>BOQ合计(m)</t>
        </is>
      </c>
      <c r="J1" s="3" t="inlineStr">
        <is>
          <t>图算合计(m)</t>
        </is>
      </c>
      <c r="K1" s="3" t="inlineStr">
        <is>
          <t>差异(m)</t>
        </is>
      </c>
      <c r="L1" s="3" t="inlineStr">
        <is>
          <t>差异率</t>
        </is>
      </c>
      <c r="M1" s="3" t="inlineStr">
        <is>
          <t>判定</t>
        </is>
      </c>
    </row>
    <row r="2">
      <c r="A2" t="n">
        <v>1</v>
      </c>
      <c r="B2" t="inlineStr">
        <is>
          <t>CAT6网线</t>
        </is>
      </c>
      <c r="C2" t="inlineStr">
        <is>
          <t>CAT6mm2</t>
        </is>
      </c>
      <c r="D2" t="inlineStr">
        <is>
          <t>m</t>
        </is>
      </c>
      <c r="E2" t="inlineStr">
        <is>
          <t>A1</t>
        </is>
      </c>
      <c r="F2" t="n">
        <v>34</v>
      </c>
      <c r="G2" s="4" t="n">
        <v>183.4</v>
      </c>
      <c r="H2" s="5" t="n"/>
      <c r="I2" s="4" t="n">
        <v>6236.9</v>
      </c>
      <c r="J2" s="6">
        <f>H2*F2</f>
        <v/>
      </c>
      <c r="K2" s="6">
        <f>J2-I2</f>
        <v/>
      </c>
      <c r="L2" s="7">
        <f>IF(I2=0,"",K2/I2)</f>
        <v/>
      </c>
      <c r="M2" s="6">
        <f>IF(ABS(L2)&lt;0.02," 合理",IF(ABS(L2)&lt;0.05," 关注"," 复查"))</f>
        <v/>
      </c>
    </row>
    <row r="3">
      <c r="A3" t="n">
        <v>2</v>
      </c>
      <c r="B3" t="inlineStr">
        <is>
          <t>CAT6网线</t>
        </is>
      </c>
      <c r="C3" t="inlineStr">
        <is>
          <t>CAT6mm2</t>
        </is>
      </c>
      <c r="D3" t="inlineStr">
        <is>
          <t>m</t>
        </is>
      </c>
      <c r="E3" t="inlineStr">
        <is>
          <t>B1</t>
        </is>
      </c>
      <c r="F3" t="n">
        <v>68</v>
      </c>
      <c r="G3" s="4" t="n">
        <v>184.2</v>
      </c>
      <c r="H3" s="5" t="n"/>
      <c r="I3" s="4" t="n">
        <v>12522.2</v>
      </c>
      <c r="J3" s="6">
        <f>H3*F3</f>
        <v/>
      </c>
      <c r="K3" s="6">
        <f>J3-I3</f>
        <v/>
      </c>
      <c r="L3" s="7">
        <f>IF(I3=0,"",K3/I3)</f>
        <v/>
      </c>
      <c r="M3" s="6">
        <f>IF(ABS(L3)&lt;0.02," 合理",IF(ABS(L3)&lt;0.05," 关注"," 复查"))</f>
        <v/>
      </c>
    </row>
    <row r="4">
      <c r="A4" t="n">
        <v>3</v>
      </c>
      <c r="B4" t="inlineStr">
        <is>
          <t>CAT6网线</t>
        </is>
      </c>
      <c r="C4" t="inlineStr">
        <is>
          <t>CAT6mm2</t>
        </is>
      </c>
      <c r="D4" t="inlineStr">
        <is>
          <t>m</t>
        </is>
      </c>
      <c r="E4" t="inlineStr">
        <is>
          <t>B2</t>
        </is>
      </c>
      <c r="F4" t="n">
        <v>17</v>
      </c>
      <c r="G4" s="4" t="n">
        <v>184.2</v>
      </c>
      <c r="H4" s="5" t="n"/>
      <c r="I4" s="4" t="n">
        <v>3130.6</v>
      </c>
      <c r="J4" s="6">
        <f>H4*F4</f>
        <v/>
      </c>
      <c r="K4" s="6">
        <f>J4-I4</f>
        <v/>
      </c>
      <c r="L4" s="7">
        <f>IF(I4=0,"",K4/I4)</f>
        <v/>
      </c>
      <c r="M4" s="6">
        <f>IF(ABS(L4)&lt;0.02," 合理",IF(ABS(L4)&lt;0.05," 关注"," 复查"))</f>
        <v/>
      </c>
    </row>
    <row r="5">
      <c r="A5" t="n">
        <v>4</v>
      </c>
      <c r="B5" t="inlineStr">
        <is>
          <t>CAT6网线</t>
        </is>
      </c>
      <c r="C5" t="inlineStr">
        <is>
          <t>CAT6mm2</t>
        </is>
      </c>
      <c r="D5" t="inlineStr">
        <is>
          <t>m</t>
        </is>
      </c>
      <c r="E5" t="inlineStr">
        <is>
          <t>C</t>
        </is>
      </c>
      <c r="F5" t="n">
        <v>17</v>
      </c>
      <c r="G5" s="4" t="n">
        <v>190.4</v>
      </c>
      <c r="H5" s="5" t="n"/>
      <c r="I5" s="4" t="n">
        <v>3237.6</v>
      </c>
      <c r="J5" s="6">
        <f>H5*F5</f>
        <v/>
      </c>
      <c r="K5" s="6">
        <f>J5-I5</f>
        <v/>
      </c>
      <c r="L5" s="7">
        <f>IF(I5=0,"",K5/I5)</f>
        <v/>
      </c>
      <c r="M5" s="6">
        <f>IF(ABS(L5)&lt;0.02," 合理",IF(ABS(L5)&lt;0.05," 关注"," 复查"))</f>
        <v/>
      </c>
    </row>
    <row r="6">
      <c r="A6" t="n">
        <v>5</v>
      </c>
      <c r="B6" t="inlineStr">
        <is>
          <t>CAT6网线</t>
        </is>
      </c>
      <c r="C6" t="inlineStr">
        <is>
          <t>CAT6mm2</t>
        </is>
      </c>
      <c r="D6" t="inlineStr">
        <is>
          <t>m</t>
        </is>
      </c>
      <c r="E6" t="inlineStr">
        <is>
          <t>D1</t>
        </is>
      </c>
      <c r="F6" t="n">
        <v>34</v>
      </c>
      <c r="G6" s="4" t="n">
        <v>219.8</v>
      </c>
      <c r="H6" s="5" t="n"/>
      <c r="I6" s="4" t="n">
        <v>7471.5</v>
      </c>
      <c r="J6" s="6">
        <f>H6*F6</f>
        <v/>
      </c>
      <c r="K6" s="6">
        <f>J6-I6</f>
        <v/>
      </c>
      <c r="L6" s="7">
        <f>IF(I6=0,"",K6/I6)</f>
        <v/>
      </c>
      <c r="M6" s="6">
        <f>IF(ABS(L6)&lt;0.02," 合理",IF(ABS(L6)&lt;0.05," 关注"," 复查"))</f>
        <v/>
      </c>
    </row>
    <row r="7">
      <c r="A7" t="n">
        <v>6</v>
      </c>
      <c r="B7" t="inlineStr">
        <is>
          <t>CAT6网线</t>
        </is>
      </c>
      <c r="C7" t="inlineStr">
        <is>
          <t>CAT6mm2</t>
        </is>
      </c>
      <c r="D7" t="inlineStr">
        <is>
          <t>m</t>
        </is>
      </c>
      <c r="E7" t="inlineStr">
        <is>
          <t>D2</t>
        </is>
      </c>
      <c r="F7" t="n">
        <v>15</v>
      </c>
      <c r="G7" s="4" t="n">
        <v>219.7</v>
      </c>
      <c r="H7" s="5" t="n"/>
      <c r="I7" s="4" t="n">
        <v>3296.2</v>
      </c>
      <c r="J7" s="6">
        <f>H7*F7</f>
        <v/>
      </c>
      <c r="K7" s="6">
        <f>J7-I7</f>
        <v/>
      </c>
      <c r="L7" s="7">
        <f>IF(I7=0,"",K7/I7)</f>
        <v/>
      </c>
      <c r="M7" s="6">
        <f>IF(ABS(L7)&lt;0.02," 合理",IF(ABS(L7)&lt;0.05," 关注"," 复查"))</f>
        <v/>
      </c>
    </row>
    <row r="8">
      <c r="A8" t="n">
        <v>7</v>
      </c>
      <c r="B8" t="inlineStr">
        <is>
          <t>CAT6网线</t>
        </is>
      </c>
      <c r="C8" t="inlineStr">
        <is>
          <t>CAT6mm2</t>
        </is>
      </c>
      <c r="D8" t="inlineStr">
        <is>
          <t>m</t>
        </is>
      </c>
      <c r="E8" t="inlineStr">
        <is>
          <t>D3</t>
        </is>
      </c>
      <c r="F8" t="n">
        <v>2</v>
      </c>
      <c r="G8" s="4" t="n">
        <v>219.8</v>
      </c>
      <c r="H8" s="5" t="n"/>
      <c r="I8" s="4" t="n">
        <v>439.5</v>
      </c>
      <c r="J8" s="6">
        <f>H8*F8</f>
        <v/>
      </c>
      <c r="K8" s="6">
        <f>J8-I8</f>
        <v/>
      </c>
      <c r="L8" s="7">
        <f>IF(I8=0,"",K8/I8)</f>
        <v/>
      </c>
      <c r="M8" s="6">
        <f>IF(ABS(L8)&lt;0.02," 合理",IF(ABS(L8)&lt;0.05," 关注"," 复查"))</f>
        <v/>
      </c>
    </row>
    <row r="9">
      <c r="A9" t="n">
        <v>8</v>
      </c>
      <c r="B9" t="inlineStr">
        <is>
          <t>CAT6网线</t>
        </is>
      </c>
      <c r="C9" t="inlineStr">
        <is>
          <t>CAT6mm2</t>
        </is>
      </c>
      <c r="D9" t="inlineStr">
        <is>
          <t>m</t>
        </is>
      </c>
      <c r="E9" t="inlineStr">
        <is>
          <t>D4</t>
        </is>
      </c>
      <c r="F9" t="n">
        <v>2</v>
      </c>
      <c r="G9" s="4" t="n">
        <v>219.8</v>
      </c>
      <c r="H9" s="5" t="n"/>
      <c r="I9" s="4" t="n">
        <v>439.5</v>
      </c>
      <c r="J9" s="6">
        <f>H9*F9</f>
        <v/>
      </c>
      <c r="K9" s="6">
        <f>J9-I9</f>
        <v/>
      </c>
      <c r="L9" s="7">
        <f>IF(I9=0,"",K9/I9)</f>
        <v/>
      </c>
      <c r="M9" s="6">
        <f>IF(ABS(L9)&lt;0.02," 合理",IF(ABS(L9)&lt;0.05," 关注"," 复查"))</f>
        <v/>
      </c>
    </row>
    <row r="10">
      <c r="A10" t="n">
        <v>9</v>
      </c>
      <c r="B10" t="inlineStr">
        <is>
          <t>CAT6网线</t>
        </is>
      </c>
      <c r="C10" t="inlineStr">
        <is>
          <t>CAT6mm2</t>
        </is>
      </c>
      <c r="D10" t="inlineStr">
        <is>
          <t>m</t>
        </is>
      </c>
      <c r="E10" t="inlineStr">
        <is>
          <t>E</t>
        </is>
      </c>
      <c r="F10" t="n">
        <v>28</v>
      </c>
      <c r="G10" s="4" t="n">
        <v>245.7</v>
      </c>
      <c r="H10" s="5" t="n"/>
      <c r="I10" s="4" t="n">
        <v>6880.4</v>
      </c>
      <c r="J10" s="6">
        <f>H10*F10</f>
        <v/>
      </c>
      <c r="K10" s="6">
        <f>J10-I10</f>
        <v/>
      </c>
      <c r="L10" s="7">
        <f>IF(I10=0,"",K10/I10)</f>
        <v/>
      </c>
      <c r="M10" s="6">
        <f>IF(ABS(L10)&lt;0.02," 合理",IF(ABS(L10)&lt;0.05," 关注"," 复查"))</f>
        <v/>
      </c>
    </row>
    <row r="11">
      <c r="A11" t="n">
        <v>10</v>
      </c>
      <c r="B11" t="inlineStr">
        <is>
          <t>BV-2.5mm2</t>
        </is>
      </c>
      <c r="C11" t="inlineStr">
        <is>
          <t>BV-2.5mm2</t>
        </is>
      </c>
      <c r="D11" t="inlineStr">
        <is>
          <t>m</t>
        </is>
      </c>
      <c r="E11" t="inlineStr">
        <is>
          <t>A1</t>
        </is>
      </c>
      <c r="F11" t="n">
        <v>34</v>
      </c>
      <c r="G11" s="4" t="n">
        <v>656.1</v>
      </c>
      <c r="H11" s="5" t="n"/>
      <c r="I11" s="4" t="n">
        <v>22306.4</v>
      </c>
      <c r="J11" s="6">
        <f>H11*F11</f>
        <v/>
      </c>
      <c r="K11" s="6">
        <f>J11-I11</f>
        <v/>
      </c>
      <c r="L11" s="7">
        <f>IF(I11=0,"",K11/I11)</f>
        <v/>
      </c>
      <c r="M11" s="6">
        <f>IF(ABS(L11)&lt;0.02," 合理",IF(ABS(L11)&lt;0.05," 关注"," 复查"))</f>
        <v/>
      </c>
    </row>
    <row r="12">
      <c r="A12" t="n">
        <v>11</v>
      </c>
      <c r="B12" t="inlineStr">
        <is>
          <t>BV-2.5mm2</t>
        </is>
      </c>
      <c r="C12" t="inlineStr">
        <is>
          <t>BV-2.5mm2</t>
        </is>
      </c>
      <c r="D12" t="inlineStr">
        <is>
          <t>m</t>
        </is>
      </c>
      <c r="E12" t="inlineStr">
        <is>
          <t>B1</t>
        </is>
      </c>
      <c r="F12" t="n">
        <v>68</v>
      </c>
      <c r="G12" s="4" t="n">
        <v>684.3</v>
      </c>
      <c r="H12" s="5" t="n"/>
      <c r="I12" s="4" t="n">
        <v>46533.8</v>
      </c>
      <c r="J12" s="6">
        <f>H12*F12</f>
        <v/>
      </c>
      <c r="K12" s="6">
        <f>J12-I12</f>
        <v/>
      </c>
      <c r="L12" s="7">
        <f>IF(I12=0,"",K12/I12)</f>
        <v/>
      </c>
      <c r="M12" s="6">
        <f>IF(ABS(L12)&lt;0.02," 合理",IF(ABS(L12)&lt;0.05," 关注"," 复查"))</f>
        <v/>
      </c>
    </row>
    <row r="13">
      <c r="A13" t="n">
        <v>12</v>
      </c>
      <c r="B13" t="inlineStr">
        <is>
          <t>BV-2.5mm2</t>
        </is>
      </c>
      <c r="C13" t="inlineStr">
        <is>
          <t>BV-2.5mm2</t>
        </is>
      </c>
      <c r="D13" t="inlineStr">
        <is>
          <t>m</t>
        </is>
      </c>
      <c r="E13" t="inlineStr">
        <is>
          <t>B2</t>
        </is>
      </c>
      <c r="F13" t="n">
        <v>17</v>
      </c>
      <c r="G13" s="4" t="n">
        <v>684.3</v>
      </c>
      <c r="H13" s="5" t="n"/>
      <c r="I13" s="4" t="n">
        <v>11633.4</v>
      </c>
      <c r="J13" s="6">
        <f>H13*F13</f>
        <v/>
      </c>
      <c r="K13" s="6">
        <f>J13-I13</f>
        <v/>
      </c>
      <c r="L13" s="7">
        <f>IF(I13=0,"",K13/I13)</f>
        <v/>
      </c>
      <c r="M13" s="6">
        <f>IF(ABS(L13)&lt;0.02," 合理",IF(ABS(L13)&lt;0.05," 关注"," 复查"))</f>
        <v/>
      </c>
    </row>
    <row r="14">
      <c r="A14" t="n">
        <v>13</v>
      </c>
      <c r="B14" t="inlineStr">
        <is>
          <t>BV-2.5mm2</t>
        </is>
      </c>
      <c r="C14" t="inlineStr">
        <is>
          <t>BV-2.5mm2</t>
        </is>
      </c>
      <c r="D14" t="inlineStr">
        <is>
          <t>m</t>
        </is>
      </c>
      <c r="E14" t="inlineStr">
        <is>
          <t>C</t>
        </is>
      </c>
      <c r="F14" t="n">
        <v>17</v>
      </c>
      <c r="G14" s="4" t="n">
        <v>640.8</v>
      </c>
      <c r="H14" s="5" t="n"/>
      <c r="I14" s="4" t="n">
        <v>10892.8</v>
      </c>
      <c r="J14" s="6">
        <f>H14*F14</f>
        <v/>
      </c>
      <c r="K14" s="6">
        <f>J14-I14</f>
        <v/>
      </c>
      <c r="L14" s="7">
        <f>IF(I14=0,"",K14/I14)</f>
        <v/>
      </c>
      <c r="M14" s="6">
        <f>IF(ABS(L14)&lt;0.02," 合理",IF(ABS(L14)&lt;0.05," 关注"," 复查"))</f>
        <v/>
      </c>
    </row>
    <row r="15">
      <c r="A15" t="n">
        <v>14</v>
      </c>
      <c r="B15" t="inlineStr">
        <is>
          <t>BV-2.5mm2</t>
        </is>
      </c>
      <c r="C15" t="inlineStr">
        <is>
          <t>BV-2.5mm2</t>
        </is>
      </c>
      <c r="D15" t="inlineStr">
        <is>
          <t>m</t>
        </is>
      </c>
      <c r="E15" t="inlineStr">
        <is>
          <t>D1</t>
        </is>
      </c>
      <c r="F15" t="n">
        <v>34</v>
      </c>
      <c r="G15" s="4" t="n">
        <v>652.7</v>
      </c>
      <c r="H15" s="5" t="n"/>
      <c r="I15" s="4" t="n">
        <v>22192.8</v>
      </c>
      <c r="J15" s="6">
        <f>H15*F15</f>
        <v/>
      </c>
      <c r="K15" s="6">
        <f>J15-I15</f>
        <v/>
      </c>
      <c r="L15" s="7">
        <f>IF(I15=0,"",K15/I15)</f>
        <v/>
      </c>
      <c r="M15" s="6">
        <f>IF(ABS(L15)&lt;0.02," 合理",IF(ABS(L15)&lt;0.05," 关注"," 复查"))</f>
        <v/>
      </c>
    </row>
    <row r="16">
      <c r="A16" t="n">
        <v>15</v>
      </c>
      <c r="B16" t="inlineStr">
        <is>
          <t>BV-2.5mm2</t>
        </is>
      </c>
      <c r="C16" t="inlineStr">
        <is>
          <t>BV-2.5mm2</t>
        </is>
      </c>
      <c r="D16" t="inlineStr">
        <is>
          <t>m</t>
        </is>
      </c>
      <c r="E16" t="inlineStr">
        <is>
          <t>D2</t>
        </is>
      </c>
      <c r="F16" t="n">
        <v>15</v>
      </c>
      <c r="G16" s="4" t="n">
        <v>652.7</v>
      </c>
      <c r="H16" s="5" t="n"/>
      <c r="I16" s="4" t="n">
        <v>9791</v>
      </c>
      <c r="J16" s="6">
        <f>H16*F16</f>
        <v/>
      </c>
      <c r="K16" s="6">
        <f>J16-I16</f>
        <v/>
      </c>
      <c r="L16" s="7">
        <f>IF(I16=0,"",K16/I16)</f>
        <v/>
      </c>
      <c r="M16" s="6">
        <f>IF(ABS(L16)&lt;0.02," 合理",IF(ABS(L16)&lt;0.05," 关注"," 复查"))</f>
        <v/>
      </c>
    </row>
    <row r="17">
      <c r="A17" t="n">
        <v>16</v>
      </c>
      <c r="B17" t="inlineStr">
        <is>
          <t>BV-2.5mm2</t>
        </is>
      </c>
      <c r="C17" t="inlineStr">
        <is>
          <t>BV-2.5mm2</t>
        </is>
      </c>
      <c r="D17" t="inlineStr">
        <is>
          <t>m</t>
        </is>
      </c>
      <c r="E17" t="inlineStr">
        <is>
          <t>D3</t>
        </is>
      </c>
      <c r="F17" t="n">
        <v>2</v>
      </c>
      <c r="G17" s="4" t="n">
        <v>652.8</v>
      </c>
      <c r="H17" s="5" t="n"/>
      <c r="I17" s="4" t="n">
        <v>1305.5</v>
      </c>
      <c r="J17" s="6">
        <f>H17*F17</f>
        <v/>
      </c>
      <c r="K17" s="6">
        <f>J17-I17</f>
        <v/>
      </c>
      <c r="L17" s="7">
        <f>IF(I17=0,"",K17/I17)</f>
        <v/>
      </c>
      <c r="M17" s="6">
        <f>IF(ABS(L17)&lt;0.02," 合理",IF(ABS(L17)&lt;0.05," 关注"," 复查"))</f>
        <v/>
      </c>
    </row>
    <row r="18">
      <c r="A18" t="n">
        <v>17</v>
      </c>
      <c r="B18" t="inlineStr">
        <is>
          <t>BV-2.5mm2</t>
        </is>
      </c>
      <c r="C18" t="inlineStr">
        <is>
          <t>BV-2.5mm2</t>
        </is>
      </c>
      <c r="D18" t="inlineStr">
        <is>
          <t>m</t>
        </is>
      </c>
      <c r="E18" t="inlineStr">
        <is>
          <t>D4</t>
        </is>
      </c>
      <c r="F18" t="n">
        <v>2</v>
      </c>
      <c r="G18" s="4" t="n">
        <v>652.8</v>
      </c>
      <c r="H18" s="5" t="n"/>
      <c r="I18" s="4" t="n">
        <v>1305.5</v>
      </c>
      <c r="J18" s="6">
        <f>H18*F18</f>
        <v/>
      </c>
      <c r="K18" s="6">
        <f>J18-I18</f>
        <v/>
      </c>
      <c r="L18" s="7">
        <f>IF(I18=0,"",K18/I18)</f>
        <v/>
      </c>
      <c r="M18" s="6">
        <f>IF(ABS(L18)&lt;0.02," 合理",IF(ABS(L18)&lt;0.05," 关注"," 复查"))</f>
        <v/>
      </c>
    </row>
    <row r="19">
      <c r="A19" t="n">
        <v>18</v>
      </c>
      <c r="B19" t="inlineStr">
        <is>
          <t>BV-2.5mm2</t>
        </is>
      </c>
      <c r="C19" t="inlineStr">
        <is>
          <t>BV-2.5mm2</t>
        </is>
      </c>
      <c r="D19" t="inlineStr">
        <is>
          <t>m</t>
        </is>
      </c>
      <c r="E19" t="inlineStr">
        <is>
          <t>E</t>
        </is>
      </c>
      <c r="F19" t="n">
        <v>28</v>
      </c>
      <c r="G19" s="4" t="n">
        <v>734.3</v>
      </c>
      <c r="H19" s="5" t="n"/>
      <c r="I19" s="4" t="n">
        <v>20561</v>
      </c>
      <c r="J19" s="6">
        <f>H19*F19</f>
        <v/>
      </c>
      <c r="K19" s="6">
        <f>J19-I19</f>
        <v/>
      </c>
      <c r="L19" s="7">
        <f>IF(I19=0,"",K19/I19)</f>
        <v/>
      </c>
      <c r="M19" s="6">
        <f>IF(ABS(L19)&lt;0.02," 合理",IF(ABS(L19)&lt;0.05," 关注"," 复查"))</f>
        <v/>
      </c>
    </row>
    <row r="20">
      <c r="A20" t="n">
        <v>19</v>
      </c>
      <c r="B20" t="inlineStr">
        <is>
          <t>BV-4mm2</t>
        </is>
      </c>
      <c r="C20" t="inlineStr">
        <is>
          <t>BV-4mm2</t>
        </is>
      </c>
      <c r="D20" t="inlineStr">
        <is>
          <t>m</t>
        </is>
      </c>
      <c r="E20" t="inlineStr">
        <is>
          <t>A1</t>
        </is>
      </c>
      <c r="F20" t="n">
        <v>34</v>
      </c>
      <c r="G20" s="4" t="n">
        <v>469.5</v>
      </c>
      <c r="H20" s="5" t="n"/>
      <c r="I20" s="4" t="n">
        <v>15963</v>
      </c>
      <c r="J20" s="6">
        <f>H20*F20</f>
        <v/>
      </c>
      <c r="K20" s="6">
        <f>J20-I20</f>
        <v/>
      </c>
      <c r="L20" s="7">
        <f>IF(I20=0,"",K20/I20)</f>
        <v/>
      </c>
      <c r="M20" s="6">
        <f>IF(ABS(L20)&lt;0.02," 合理",IF(ABS(L20)&lt;0.05," 关注"," 复查"))</f>
        <v/>
      </c>
    </row>
    <row r="21">
      <c r="A21" t="n">
        <v>20</v>
      </c>
      <c r="B21" t="inlineStr">
        <is>
          <t>BV-4mm2</t>
        </is>
      </c>
      <c r="C21" t="inlineStr">
        <is>
          <t>BV-4mm2</t>
        </is>
      </c>
      <c r="D21" t="inlineStr">
        <is>
          <t>m</t>
        </is>
      </c>
      <c r="E21" t="inlineStr">
        <is>
          <t>B1</t>
        </is>
      </c>
      <c r="F21" t="n">
        <v>68</v>
      </c>
      <c r="G21" s="4" t="n">
        <v>485</v>
      </c>
      <c r="H21" s="5" t="n"/>
      <c r="I21" s="4" t="n">
        <v>32980</v>
      </c>
      <c r="J21" s="6">
        <f>H21*F21</f>
        <v/>
      </c>
      <c r="K21" s="6">
        <f>J21-I21</f>
        <v/>
      </c>
      <c r="L21" s="7">
        <f>IF(I21=0,"",K21/I21)</f>
        <v/>
      </c>
      <c r="M21" s="6">
        <f>IF(ABS(L21)&lt;0.02," 合理",IF(ABS(L21)&lt;0.05," 关注"," 复查"))</f>
        <v/>
      </c>
    </row>
    <row r="22">
      <c r="A22" t="n">
        <v>21</v>
      </c>
      <c r="B22" t="inlineStr">
        <is>
          <t>BV-4mm2</t>
        </is>
      </c>
      <c r="C22" t="inlineStr">
        <is>
          <t>BV-4mm2</t>
        </is>
      </c>
      <c r="D22" t="inlineStr">
        <is>
          <t>m</t>
        </is>
      </c>
      <c r="E22" t="inlineStr">
        <is>
          <t>B2</t>
        </is>
      </c>
      <c r="F22" t="n">
        <v>17</v>
      </c>
      <c r="G22" s="4" t="n">
        <v>485</v>
      </c>
      <c r="H22" s="5" t="n"/>
      <c r="I22" s="4" t="n">
        <v>8245</v>
      </c>
      <c r="J22" s="6">
        <f>H22*F22</f>
        <v/>
      </c>
      <c r="K22" s="6">
        <f>J22-I22</f>
        <v/>
      </c>
      <c r="L22" s="7">
        <f>IF(I22=0,"",K22/I22)</f>
        <v/>
      </c>
      <c r="M22" s="6">
        <f>IF(ABS(L22)&lt;0.02," 合理",IF(ABS(L22)&lt;0.05," 关注"," 复查"))</f>
        <v/>
      </c>
    </row>
    <row r="23">
      <c r="A23" t="n">
        <v>22</v>
      </c>
      <c r="B23" t="inlineStr">
        <is>
          <t>BV-4mm2</t>
        </is>
      </c>
      <c r="C23" t="inlineStr">
        <is>
          <t>BV-4mm2</t>
        </is>
      </c>
      <c r="D23" t="inlineStr">
        <is>
          <t>m</t>
        </is>
      </c>
      <c r="E23" t="inlineStr">
        <is>
          <t>C</t>
        </is>
      </c>
      <c r="F23" t="n">
        <v>17</v>
      </c>
      <c r="G23" s="4" t="n">
        <v>551.8</v>
      </c>
      <c r="H23" s="5" t="n"/>
      <c r="I23" s="4" t="n">
        <v>9380.1</v>
      </c>
      <c r="J23" s="6">
        <f>H23*F23</f>
        <v/>
      </c>
      <c r="K23" s="6">
        <f>J23-I23</f>
        <v/>
      </c>
      <c r="L23" s="7">
        <f>IF(I23=0,"",K23/I23)</f>
        <v/>
      </c>
      <c r="M23" s="6">
        <f>IF(ABS(L23)&lt;0.02," 合理",IF(ABS(L23)&lt;0.05," 关注"," 复查"))</f>
        <v/>
      </c>
    </row>
    <row r="24">
      <c r="A24" t="n">
        <v>23</v>
      </c>
      <c r="B24" t="inlineStr">
        <is>
          <t>BV-4mm2</t>
        </is>
      </c>
      <c r="C24" t="inlineStr">
        <is>
          <t>BV-4mm2</t>
        </is>
      </c>
      <c r="D24" t="inlineStr">
        <is>
          <t>m</t>
        </is>
      </c>
      <c r="E24" t="inlineStr">
        <is>
          <t>D1</t>
        </is>
      </c>
      <c r="F24" t="n">
        <v>34</v>
      </c>
      <c r="G24" s="4" t="n">
        <v>466.7</v>
      </c>
      <c r="H24" s="5" t="n"/>
      <c r="I24" s="4" t="n">
        <v>15866.8</v>
      </c>
      <c r="J24" s="6">
        <f>H24*F24</f>
        <v/>
      </c>
      <c r="K24" s="6">
        <f>J24-I24</f>
        <v/>
      </c>
      <c r="L24" s="7">
        <f>IF(I24=0,"",K24/I24)</f>
        <v/>
      </c>
      <c r="M24" s="6">
        <f>IF(ABS(L24)&lt;0.02," 合理",IF(ABS(L24)&lt;0.05," 关注"," 复查"))</f>
        <v/>
      </c>
    </row>
    <row r="25">
      <c r="A25" t="n">
        <v>24</v>
      </c>
      <c r="B25" t="inlineStr">
        <is>
          <t>BV-4mm2</t>
        </is>
      </c>
      <c r="C25" t="inlineStr">
        <is>
          <t>BV-4mm2</t>
        </is>
      </c>
      <c r="D25" t="inlineStr">
        <is>
          <t>m</t>
        </is>
      </c>
      <c r="E25" t="inlineStr">
        <is>
          <t>D2</t>
        </is>
      </c>
      <c r="F25" t="n">
        <v>15</v>
      </c>
      <c r="G25" s="4" t="n">
        <v>466.7</v>
      </c>
      <c r="H25" s="5" t="n"/>
      <c r="I25" s="4" t="n">
        <v>7000.1</v>
      </c>
      <c r="J25" s="6">
        <f>H25*F25</f>
        <v/>
      </c>
      <c r="K25" s="6">
        <f>J25-I25</f>
        <v/>
      </c>
      <c r="L25" s="7">
        <f>IF(I25=0,"",K25/I25)</f>
        <v/>
      </c>
      <c r="M25" s="6">
        <f>IF(ABS(L25)&lt;0.02," 合理",IF(ABS(L25)&lt;0.05," 关注"," 复查"))</f>
        <v/>
      </c>
    </row>
    <row r="26">
      <c r="A26" t="n">
        <v>25</v>
      </c>
      <c r="B26" t="inlineStr">
        <is>
          <t>BV-4mm2</t>
        </is>
      </c>
      <c r="C26" t="inlineStr">
        <is>
          <t>BV-4mm2</t>
        </is>
      </c>
      <c r="D26" t="inlineStr">
        <is>
          <t>m</t>
        </is>
      </c>
      <c r="E26" t="inlineStr">
        <is>
          <t>D3</t>
        </is>
      </c>
      <c r="F26" t="n">
        <v>2</v>
      </c>
      <c r="G26" s="4" t="n">
        <v>466.6</v>
      </c>
      <c r="H26" s="5" t="n"/>
      <c r="I26" s="4" t="n">
        <v>933.3</v>
      </c>
      <c r="J26" s="6">
        <f>H26*F26</f>
        <v/>
      </c>
      <c r="K26" s="6">
        <f>J26-I26</f>
        <v/>
      </c>
      <c r="L26" s="7">
        <f>IF(I26=0,"",K26/I26)</f>
        <v/>
      </c>
      <c r="M26" s="6">
        <f>IF(ABS(L26)&lt;0.02," 合理",IF(ABS(L26)&lt;0.05," 关注"," 复查"))</f>
        <v/>
      </c>
    </row>
    <row r="27">
      <c r="A27" t="n">
        <v>26</v>
      </c>
      <c r="B27" t="inlineStr">
        <is>
          <t>BV-4mm2</t>
        </is>
      </c>
      <c r="C27" t="inlineStr">
        <is>
          <t>BV-4mm2</t>
        </is>
      </c>
      <c r="D27" t="inlineStr">
        <is>
          <t>m</t>
        </is>
      </c>
      <c r="E27" t="inlineStr">
        <is>
          <t>D4</t>
        </is>
      </c>
      <c r="F27" t="n">
        <v>2</v>
      </c>
      <c r="G27" s="4" t="n">
        <v>466.6</v>
      </c>
      <c r="H27" s="5" t="n"/>
      <c r="I27" s="4" t="n">
        <v>933.3</v>
      </c>
      <c r="J27" s="6">
        <f>H27*F27</f>
        <v/>
      </c>
      <c r="K27" s="6">
        <f>J27-I27</f>
        <v/>
      </c>
      <c r="L27" s="7">
        <f>IF(I27=0,"",K27/I27)</f>
        <v/>
      </c>
      <c r="M27" s="6">
        <f>IF(ABS(L27)&lt;0.02," 合理",IF(ABS(L27)&lt;0.05," 关注"," 复查"))</f>
        <v/>
      </c>
    </row>
    <row r="28">
      <c r="A28" t="n">
        <v>27</v>
      </c>
      <c r="B28" t="inlineStr">
        <is>
          <t>BV-4mm2</t>
        </is>
      </c>
      <c r="C28" t="inlineStr">
        <is>
          <t>BV-4mm2</t>
        </is>
      </c>
      <c r="D28" t="inlineStr">
        <is>
          <t>m</t>
        </is>
      </c>
      <c r="E28" t="inlineStr">
        <is>
          <t>E</t>
        </is>
      </c>
      <c r="F28" t="n">
        <v>28</v>
      </c>
      <c r="G28" s="4" t="n">
        <v>525</v>
      </c>
      <c r="H28" s="5" t="n"/>
      <c r="I28" s="4" t="n">
        <v>14700</v>
      </c>
      <c r="J28" s="6">
        <f>H28*F28</f>
        <v/>
      </c>
      <c r="K28" s="6">
        <f>J28-I28</f>
        <v/>
      </c>
      <c r="L28" s="7">
        <f>IF(I28=0,"",K28/I28)</f>
        <v/>
      </c>
      <c r="M28" s="6">
        <f>IF(ABS(L28)&lt;0.02," 合理",IF(ABS(L28)&lt;0.05," 关注"," 复查"))</f>
        <v/>
      </c>
    </row>
    <row r="29">
      <c r="A29" t="n">
        <v>28</v>
      </c>
      <c r="B29" t="inlineStr">
        <is>
          <t>BV-6mm2</t>
        </is>
      </c>
      <c r="C29" t="inlineStr">
        <is>
          <t>BV-6mm2</t>
        </is>
      </c>
      <c r="D29" t="inlineStr">
        <is>
          <t>m</t>
        </is>
      </c>
      <c r="E29" t="inlineStr">
        <is>
          <t>B1</t>
        </is>
      </c>
      <c r="F29" t="n">
        <v>68</v>
      </c>
      <c r="G29" s="4" t="n">
        <v>132</v>
      </c>
      <c r="H29" s="5" t="n"/>
      <c r="I29" s="4" t="n">
        <v>8976</v>
      </c>
      <c r="J29" s="6">
        <f>H29*F29</f>
        <v/>
      </c>
      <c r="K29" s="6">
        <f>J29-I29</f>
        <v/>
      </c>
      <c r="L29" s="7">
        <f>IF(I29=0,"",K29/I29)</f>
        <v/>
      </c>
      <c r="M29" s="6">
        <f>IF(ABS(L29)&lt;0.02," 合理",IF(ABS(L29)&lt;0.05," 关注"," 复查"))</f>
        <v/>
      </c>
    </row>
    <row r="30">
      <c r="A30" t="n">
        <v>29</v>
      </c>
      <c r="B30" t="inlineStr">
        <is>
          <t>BV-6mm2</t>
        </is>
      </c>
      <c r="C30" t="inlineStr">
        <is>
          <t>BV-6mm2</t>
        </is>
      </c>
      <c r="D30" t="inlineStr">
        <is>
          <t>m</t>
        </is>
      </c>
      <c r="E30" t="inlineStr">
        <is>
          <t>B2</t>
        </is>
      </c>
      <c r="F30" t="n">
        <v>17</v>
      </c>
      <c r="G30" s="4" t="n">
        <v>132</v>
      </c>
      <c r="H30" s="5" t="n"/>
      <c r="I30" s="4" t="n">
        <v>2244</v>
      </c>
      <c r="J30" s="6">
        <f>H30*F30</f>
        <v/>
      </c>
      <c r="K30" s="6">
        <f>J30-I30</f>
        <v/>
      </c>
      <c r="L30" s="7">
        <f>IF(I30=0,"",K30/I30)</f>
        <v/>
      </c>
      <c r="M30" s="6">
        <f>IF(ABS(L30)&lt;0.02," 合理",IF(ABS(L30)&lt;0.05," 关注"," 复查"))</f>
        <v/>
      </c>
    </row>
    <row r="31">
      <c r="A31" t="n">
        <v>30</v>
      </c>
      <c r="B31" t="inlineStr">
        <is>
          <t>BV-6mm2</t>
        </is>
      </c>
      <c r="C31" t="inlineStr">
        <is>
          <t>BV-6mm2</t>
        </is>
      </c>
      <c r="D31" t="inlineStr">
        <is>
          <t>m</t>
        </is>
      </c>
      <c r="E31" t="inlineStr">
        <is>
          <t>C</t>
        </is>
      </c>
      <c r="F31" t="n">
        <v>17</v>
      </c>
      <c r="G31" s="4" t="n">
        <v>130.6</v>
      </c>
      <c r="H31" s="5" t="n"/>
      <c r="I31" s="4" t="n">
        <v>2220</v>
      </c>
      <c r="J31" s="6">
        <f>H31*F31</f>
        <v/>
      </c>
      <c r="K31" s="6">
        <f>J31-I31</f>
        <v/>
      </c>
      <c r="L31" s="7">
        <f>IF(I31=0,"",K31/I31)</f>
        <v/>
      </c>
      <c r="M31" s="6">
        <f>IF(ABS(L31)&lt;0.02," 合理",IF(ABS(L31)&lt;0.05," 关注"," 复查"))</f>
        <v/>
      </c>
    </row>
    <row r="32">
      <c r="A32" t="n">
        <v>31</v>
      </c>
      <c r="B32" t="inlineStr">
        <is>
          <t>BV-6mm2</t>
        </is>
      </c>
      <c r="C32" t="inlineStr">
        <is>
          <t>BV-6mm2</t>
        </is>
      </c>
      <c r="D32" t="inlineStr">
        <is>
          <t>m</t>
        </is>
      </c>
      <c r="E32" t="inlineStr">
        <is>
          <t>D1</t>
        </is>
      </c>
      <c r="F32" t="n">
        <v>34</v>
      </c>
      <c r="G32" s="4" t="n">
        <v>180.5</v>
      </c>
      <c r="H32" s="5" t="n"/>
      <c r="I32" s="4" t="n">
        <v>6137</v>
      </c>
      <c r="J32" s="6">
        <f>H32*F32</f>
        <v/>
      </c>
      <c r="K32" s="6">
        <f>J32-I32</f>
        <v/>
      </c>
      <c r="L32" s="7">
        <f>IF(I32=0,"",K32/I32)</f>
        <v/>
      </c>
      <c r="M32" s="6">
        <f>IF(ABS(L32)&lt;0.02," 合理",IF(ABS(L32)&lt;0.05," 关注"," 复查"))</f>
        <v/>
      </c>
    </row>
    <row r="33">
      <c r="A33" t="n">
        <v>32</v>
      </c>
      <c r="B33" t="inlineStr">
        <is>
          <t>BV-6mm2</t>
        </is>
      </c>
      <c r="C33" t="inlineStr">
        <is>
          <t>BV-6mm2</t>
        </is>
      </c>
      <c r="D33" t="inlineStr">
        <is>
          <t>m</t>
        </is>
      </c>
      <c r="E33" t="inlineStr">
        <is>
          <t>D2</t>
        </is>
      </c>
      <c r="F33" t="n">
        <v>15</v>
      </c>
      <c r="G33" s="4" t="n">
        <v>180.5</v>
      </c>
      <c r="H33" s="5" t="n"/>
      <c r="I33" s="4" t="n">
        <v>2707.5</v>
      </c>
      <c r="J33" s="6">
        <f>H33*F33</f>
        <v/>
      </c>
      <c r="K33" s="6">
        <f>J33-I33</f>
        <v/>
      </c>
      <c r="L33" s="7">
        <f>IF(I33=0,"",K33/I33)</f>
        <v/>
      </c>
      <c r="M33" s="6">
        <f>IF(ABS(L33)&lt;0.02," 合理",IF(ABS(L33)&lt;0.05," 关注"," 复查"))</f>
        <v/>
      </c>
    </row>
    <row r="34">
      <c r="A34" t="n">
        <v>33</v>
      </c>
      <c r="B34" t="inlineStr">
        <is>
          <t>BV-6mm2</t>
        </is>
      </c>
      <c r="C34" t="inlineStr">
        <is>
          <t>BV-6mm2</t>
        </is>
      </c>
      <c r="D34" t="inlineStr">
        <is>
          <t>m</t>
        </is>
      </c>
      <c r="E34" t="inlineStr">
        <is>
          <t>D3</t>
        </is>
      </c>
      <c r="F34" t="n">
        <v>2</v>
      </c>
      <c r="G34" s="4" t="n">
        <v>180.5</v>
      </c>
      <c r="H34" s="5" t="n"/>
      <c r="I34" s="4" t="n">
        <v>361</v>
      </c>
      <c r="J34" s="6">
        <f>H34*F34</f>
        <v/>
      </c>
      <c r="K34" s="6">
        <f>J34-I34</f>
        <v/>
      </c>
      <c r="L34" s="7">
        <f>IF(I34=0,"",K34/I34)</f>
        <v/>
      </c>
      <c r="M34" s="6">
        <f>IF(ABS(L34)&lt;0.02," 合理",IF(ABS(L34)&lt;0.05," 关注"," 复查"))</f>
        <v/>
      </c>
    </row>
    <row r="35">
      <c r="A35" t="n">
        <v>34</v>
      </c>
      <c r="B35" t="inlineStr">
        <is>
          <t>BV-6mm2</t>
        </is>
      </c>
      <c r="C35" t="inlineStr">
        <is>
          <t>BV-6mm2</t>
        </is>
      </c>
      <c r="D35" t="inlineStr">
        <is>
          <t>m</t>
        </is>
      </c>
      <c r="E35" t="inlineStr">
        <is>
          <t>D4</t>
        </is>
      </c>
      <c r="F35" t="n">
        <v>2</v>
      </c>
      <c r="G35" s="4" t="n">
        <v>180.5</v>
      </c>
      <c r="H35" s="5" t="n"/>
      <c r="I35" s="4" t="n">
        <v>361</v>
      </c>
      <c r="J35" s="6">
        <f>H35*F35</f>
        <v/>
      </c>
      <c r="K35" s="6">
        <f>J35-I35</f>
        <v/>
      </c>
      <c r="L35" s="7">
        <f>IF(I35=0,"",K35/I35)</f>
        <v/>
      </c>
      <c r="M35" s="6">
        <f>IF(ABS(L35)&lt;0.02," 合理",IF(ABS(L35)&lt;0.05," 关注"," 复查"))</f>
        <v/>
      </c>
    </row>
    <row r="36">
      <c r="A36" t="n">
        <v>35</v>
      </c>
      <c r="B36" t="inlineStr">
        <is>
          <t>BV-6mm2</t>
        </is>
      </c>
      <c r="C36" t="inlineStr">
        <is>
          <t>BV-6mm2</t>
        </is>
      </c>
      <c r="D36" t="inlineStr">
        <is>
          <t>m</t>
        </is>
      </c>
      <c r="E36" t="inlineStr">
        <is>
          <t>E</t>
        </is>
      </c>
      <c r="F36" t="n">
        <v>28</v>
      </c>
      <c r="G36" s="4" t="n">
        <v>196.5</v>
      </c>
      <c r="H36" s="5" t="n"/>
      <c r="I36" s="4" t="n">
        <v>5502</v>
      </c>
      <c r="J36" s="6">
        <f>H36*F36</f>
        <v/>
      </c>
      <c r="K36" s="6">
        <f>J36-I36</f>
        <v/>
      </c>
      <c r="L36" s="7">
        <f>IF(I36=0,"",K36/I36)</f>
        <v/>
      </c>
      <c r="M36" s="6">
        <f>IF(ABS(L36)&lt;0.02," 合理",IF(ABS(L36)&lt;0.05," 关注"," 复查"))</f>
        <v/>
      </c>
    </row>
    <row r="37">
      <c r="A37" t="n">
        <v>36</v>
      </c>
      <c r="B37" t="inlineStr">
        <is>
          <t>BV-10mm2</t>
        </is>
      </c>
      <c r="C37" t="inlineStr">
        <is>
          <t>BV-10mm2</t>
        </is>
      </c>
      <c r="D37" t="inlineStr">
        <is>
          <t>m</t>
        </is>
      </c>
      <c r="E37" t="inlineStr">
        <is>
          <t>A1</t>
        </is>
      </c>
      <c r="F37" t="n">
        <v>34</v>
      </c>
      <c r="G37" s="4" t="n">
        <v>29.1</v>
      </c>
      <c r="H37" s="5" t="n"/>
      <c r="I37" s="4" t="n">
        <v>989.4</v>
      </c>
      <c r="J37" s="6">
        <f>H37*F37</f>
        <v/>
      </c>
      <c r="K37" s="6">
        <f>J37-I37</f>
        <v/>
      </c>
      <c r="L37" s="7">
        <f>IF(I37=0,"",K37/I37)</f>
        <v/>
      </c>
      <c r="M37" s="6">
        <f>IF(ABS(L37)&lt;0.02," 合理",IF(ABS(L37)&lt;0.05," 关注"," 复查"))</f>
        <v/>
      </c>
    </row>
    <row r="38">
      <c r="A38" t="n">
        <v>37</v>
      </c>
      <c r="B38" t="inlineStr">
        <is>
          <t>WDZ-BYJ-6mm2</t>
        </is>
      </c>
      <c r="C38" t="inlineStr">
        <is>
          <t>WDZ-BYJ-6mm2</t>
        </is>
      </c>
      <c r="D38" t="inlineStr">
        <is>
          <t>m</t>
        </is>
      </c>
      <c r="E38" t="inlineStr">
        <is>
          <t>A1</t>
        </is>
      </c>
      <c r="F38" t="n">
        <v>34</v>
      </c>
      <c r="G38" s="4" t="n">
        <v>92.40000000000001</v>
      </c>
      <c r="H38" s="5" t="n"/>
      <c r="I38" s="4" t="n">
        <v>3141.6</v>
      </c>
      <c r="J38" s="6">
        <f>H38*F38</f>
        <v/>
      </c>
      <c r="K38" s="6">
        <f>J38-I38</f>
        <v/>
      </c>
      <c r="L38" s="7">
        <f>IF(I38=0,"",K38/I38)</f>
        <v/>
      </c>
      <c r="M38" s="6">
        <f>IF(ABS(L38)&lt;0.02," 合理",IF(ABS(L38)&lt;0.05," 关注"," 复查"))</f>
        <v/>
      </c>
    </row>
    <row r="39">
      <c r="A39" t="n">
        <v>38</v>
      </c>
      <c r="B39" t="inlineStr">
        <is>
          <t>WDZ-BYJ-6mm2</t>
        </is>
      </c>
      <c r="C39" t="inlineStr">
        <is>
          <t>WDZ-BYJ-6mm2</t>
        </is>
      </c>
      <c r="D39" t="inlineStr">
        <is>
          <t>m</t>
        </is>
      </c>
      <c r="E39" t="inlineStr">
        <is>
          <t>B1</t>
        </is>
      </c>
      <c r="F39" t="n">
        <v>68</v>
      </c>
      <c r="G39" s="4" t="n">
        <v>102.8</v>
      </c>
      <c r="H39" s="5" t="n"/>
      <c r="I39" s="4" t="n">
        <v>6987</v>
      </c>
      <c r="J39" s="6">
        <f>H39*F39</f>
        <v/>
      </c>
      <c r="K39" s="6">
        <f>J39-I39</f>
        <v/>
      </c>
      <c r="L39" s="7">
        <f>IF(I39=0,"",K39/I39)</f>
        <v/>
      </c>
      <c r="M39" s="6">
        <f>IF(ABS(L39)&lt;0.02," 合理",IF(ABS(L39)&lt;0.05," 关注"," 复查"))</f>
        <v/>
      </c>
    </row>
    <row r="40">
      <c r="A40" t="n">
        <v>39</v>
      </c>
      <c r="B40" t="inlineStr">
        <is>
          <t>WDZ-BYJ-6mm2</t>
        </is>
      </c>
      <c r="C40" t="inlineStr">
        <is>
          <t>WDZ-BYJ-6mm2</t>
        </is>
      </c>
      <c r="D40" t="inlineStr">
        <is>
          <t>m</t>
        </is>
      </c>
      <c r="E40" t="inlineStr">
        <is>
          <t>B2</t>
        </is>
      </c>
      <c r="F40" t="n">
        <v>17</v>
      </c>
      <c r="G40" s="4" t="n">
        <v>102.8</v>
      </c>
      <c r="H40" s="5" t="n"/>
      <c r="I40" s="4" t="n">
        <v>1746.8</v>
      </c>
      <c r="J40" s="6">
        <f>H40*F40</f>
        <v/>
      </c>
      <c r="K40" s="6">
        <f>J40-I40</f>
        <v/>
      </c>
      <c r="L40" s="7">
        <f>IF(I40=0,"",K40/I40)</f>
        <v/>
      </c>
      <c r="M40" s="6">
        <f>IF(ABS(L40)&lt;0.02," 合理",IF(ABS(L40)&lt;0.05," 关注"," 复查"))</f>
        <v/>
      </c>
    </row>
    <row r="41">
      <c r="A41" t="n">
        <v>40</v>
      </c>
      <c r="B41" t="inlineStr">
        <is>
          <t>WDZ-BYJ-6mm2</t>
        </is>
      </c>
      <c r="C41" t="inlineStr">
        <is>
          <t>WDZ-BYJ-6mm2</t>
        </is>
      </c>
      <c r="D41" t="inlineStr">
        <is>
          <t>m</t>
        </is>
      </c>
      <c r="E41" t="inlineStr">
        <is>
          <t>C</t>
        </is>
      </c>
      <c r="F41" t="n">
        <v>17</v>
      </c>
      <c r="G41" s="4" t="n">
        <v>110.7</v>
      </c>
      <c r="H41" s="5" t="n"/>
      <c r="I41" s="4" t="n">
        <v>1882.1</v>
      </c>
      <c r="J41" s="6">
        <f>H41*F41</f>
        <v/>
      </c>
      <c r="K41" s="6">
        <f>J41-I41</f>
        <v/>
      </c>
      <c r="L41" s="7">
        <f>IF(I41=0,"",K41/I41)</f>
        <v/>
      </c>
      <c r="M41" s="6">
        <f>IF(ABS(L41)&lt;0.02," 合理",IF(ABS(L41)&lt;0.05," 关注"," 复查"))</f>
        <v/>
      </c>
    </row>
    <row r="42">
      <c r="A42" t="n">
        <v>41</v>
      </c>
      <c r="B42" t="inlineStr">
        <is>
          <t>WDZ-BYJ-6mm2</t>
        </is>
      </c>
      <c r="C42" t="inlineStr">
        <is>
          <t>WDZ-BYJ-6mm2</t>
        </is>
      </c>
      <c r="D42" t="inlineStr">
        <is>
          <t>m</t>
        </is>
      </c>
      <c r="E42" t="inlineStr">
        <is>
          <t>D1</t>
        </is>
      </c>
      <c r="F42" t="n">
        <v>34</v>
      </c>
      <c r="G42" s="4" t="n">
        <v>130.7</v>
      </c>
      <c r="H42" s="5" t="n"/>
      <c r="I42" s="4" t="n">
        <v>4445.2</v>
      </c>
      <c r="J42" s="6">
        <f>H42*F42</f>
        <v/>
      </c>
      <c r="K42" s="6">
        <f>J42-I42</f>
        <v/>
      </c>
      <c r="L42" s="7">
        <f>IF(I42=0,"",K42/I42)</f>
        <v/>
      </c>
      <c r="M42" s="6">
        <f>IF(ABS(L42)&lt;0.02," 合理",IF(ABS(L42)&lt;0.05," 关注"," 复查"))</f>
        <v/>
      </c>
    </row>
    <row r="43">
      <c r="A43" t="n">
        <v>42</v>
      </c>
      <c r="B43" t="inlineStr">
        <is>
          <t>WDZ-BYJ-6mm2</t>
        </is>
      </c>
      <c r="C43" t="inlineStr">
        <is>
          <t>WDZ-BYJ-6mm2</t>
        </is>
      </c>
      <c r="D43" t="inlineStr">
        <is>
          <t>m</t>
        </is>
      </c>
      <c r="E43" t="inlineStr">
        <is>
          <t>D2</t>
        </is>
      </c>
      <c r="F43" t="n">
        <v>15</v>
      </c>
      <c r="G43" s="4" t="n">
        <v>130.7</v>
      </c>
      <c r="H43" s="5" t="n"/>
      <c r="I43" s="4" t="n">
        <v>1961.1</v>
      </c>
      <c r="J43" s="6">
        <f>H43*F43</f>
        <v/>
      </c>
      <c r="K43" s="6">
        <f>J43-I43</f>
        <v/>
      </c>
      <c r="L43" s="7">
        <f>IF(I43=0,"",K43/I43)</f>
        <v/>
      </c>
      <c r="M43" s="6">
        <f>IF(ABS(L43)&lt;0.02," 合理",IF(ABS(L43)&lt;0.05," 关注"," 复查"))</f>
        <v/>
      </c>
    </row>
    <row r="44">
      <c r="A44" t="n">
        <v>43</v>
      </c>
      <c r="B44" t="inlineStr">
        <is>
          <t>WDZ-BYJ-6mm2</t>
        </is>
      </c>
      <c r="C44" t="inlineStr">
        <is>
          <t>WDZ-BYJ-6mm2</t>
        </is>
      </c>
      <c r="D44" t="inlineStr">
        <is>
          <t>m</t>
        </is>
      </c>
      <c r="E44" t="inlineStr">
        <is>
          <t>D3</t>
        </is>
      </c>
      <c r="F44" t="n">
        <v>2</v>
      </c>
      <c r="G44" s="4" t="n">
        <v>130.8</v>
      </c>
      <c r="H44" s="5" t="n"/>
      <c r="I44" s="4" t="n">
        <v>261.5</v>
      </c>
      <c r="J44" s="6">
        <f>H44*F44</f>
        <v/>
      </c>
      <c r="K44" s="6">
        <f>J44-I44</f>
        <v/>
      </c>
      <c r="L44" s="7">
        <f>IF(I44=0,"",K44/I44)</f>
        <v/>
      </c>
      <c r="M44" s="6">
        <f>IF(ABS(L44)&lt;0.02," 合理",IF(ABS(L44)&lt;0.05," 关注"," 复查"))</f>
        <v/>
      </c>
    </row>
    <row r="45">
      <c r="A45" t="n">
        <v>44</v>
      </c>
      <c r="B45" t="inlineStr">
        <is>
          <t>WDZ-BYJ-6mm2</t>
        </is>
      </c>
      <c r="C45" t="inlineStr">
        <is>
          <t>WDZ-BYJ-6mm2</t>
        </is>
      </c>
      <c r="D45" t="inlineStr">
        <is>
          <t>m</t>
        </is>
      </c>
      <c r="E45" t="inlineStr">
        <is>
          <t>D4</t>
        </is>
      </c>
      <c r="F45" t="n">
        <v>2</v>
      </c>
      <c r="G45" s="4" t="n">
        <v>130.8</v>
      </c>
      <c r="H45" s="5" t="n"/>
      <c r="I45" s="4" t="n">
        <v>261.5</v>
      </c>
      <c r="J45" s="6">
        <f>H45*F45</f>
        <v/>
      </c>
      <c r="K45" s="6">
        <f>J45-I45</f>
        <v/>
      </c>
      <c r="L45" s="7">
        <f>IF(I45=0,"",K45/I45)</f>
        <v/>
      </c>
      <c r="M45" s="6">
        <f>IF(ABS(L45)&lt;0.02," 合理",IF(ABS(L45)&lt;0.05," 关注"," 复查"))</f>
        <v/>
      </c>
    </row>
    <row r="46">
      <c r="A46" t="n">
        <v>45</v>
      </c>
      <c r="B46" t="inlineStr">
        <is>
          <t>WDZ-BYJ-6mm2</t>
        </is>
      </c>
      <c r="C46" t="inlineStr">
        <is>
          <t>WDZ-BYJ-6mm2</t>
        </is>
      </c>
      <c r="D46" t="inlineStr">
        <is>
          <t>m</t>
        </is>
      </c>
      <c r="E46" t="inlineStr">
        <is>
          <t>E</t>
        </is>
      </c>
      <c r="F46" t="n">
        <v>28</v>
      </c>
      <c r="G46" s="4" t="n">
        <v>145.6</v>
      </c>
      <c r="H46" s="5" t="n"/>
      <c r="I46" s="4" t="n">
        <v>4077.6</v>
      </c>
      <c r="J46" s="6">
        <f>H46*F46</f>
        <v/>
      </c>
      <c r="K46" s="6">
        <f>J46-I46</f>
        <v/>
      </c>
      <c r="L46" s="7">
        <f>IF(I46=0,"",K46/I46)</f>
        <v/>
      </c>
      <c r="M46" s="6">
        <f>IF(ABS(L46)&lt;0.02," 合理",IF(ABS(L46)&lt;0.05," 关注"," 复查"))</f>
        <v/>
      </c>
    </row>
    <row r="47">
      <c r="A47" t="n">
        <v>46</v>
      </c>
      <c r="B47" t="inlineStr">
        <is>
          <t>RVV-2x0.5</t>
        </is>
      </c>
      <c r="C47" t="inlineStr">
        <is>
          <t>RVV-2x0.5</t>
        </is>
      </c>
      <c r="D47" t="inlineStr">
        <is>
          <t>m</t>
        </is>
      </c>
      <c r="E47" t="inlineStr">
        <is>
          <t>A1</t>
        </is>
      </c>
      <c r="F47" t="n">
        <v>34</v>
      </c>
      <c r="G47" s="4" t="n">
        <v>13.3</v>
      </c>
      <c r="H47" s="5" t="n"/>
      <c r="I47" s="4" t="n">
        <v>452.2</v>
      </c>
      <c r="J47" s="6">
        <f>H47*F47</f>
        <v/>
      </c>
      <c r="K47" s="6">
        <f>J47-I47</f>
        <v/>
      </c>
      <c r="L47" s="7">
        <f>IF(I47=0,"",K47/I47)</f>
        <v/>
      </c>
      <c r="M47" s="6">
        <f>IF(ABS(L47)&lt;0.02," 合理",IF(ABS(L47)&lt;0.05," 关注"," 复查"))</f>
        <v/>
      </c>
    </row>
    <row r="48">
      <c r="A48" t="n">
        <v>47</v>
      </c>
      <c r="B48" t="inlineStr">
        <is>
          <t>RVV-2x0.5</t>
        </is>
      </c>
      <c r="C48" t="inlineStr">
        <is>
          <t>RVV-2x0.5</t>
        </is>
      </c>
      <c r="D48" t="inlineStr">
        <is>
          <t>m</t>
        </is>
      </c>
      <c r="E48" t="inlineStr">
        <is>
          <t>B1</t>
        </is>
      </c>
      <c r="F48" t="n">
        <v>68</v>
      </c>
      <c r="G48" s="4" t="n">
        <v>12.6</v>
      </c>
      <c r="H48" s="5" t="n"/>
      <c r="I48" s="4" t="n">
        <v>854.8</v>
      </c>
      <c r="J48" s="6">
        <f>H48*F48</f>
        <v/>
      </c>
      <c r="K48" s="6">
        <f>J48-I48</f>
        <v/>
      </c>
      <c r="L48" s="7">
        <f>IF(I48=0,"",K48/I48)</f>
        <v/>
      </c>
      <c r="M48" s="6">
        <f>IF(ABS(L48)&lt;0.02," 合理",IF(ABS(L48)&lt;0.05," 关注"," 复查"))</f>
        <v/>
      </c>
    </row>
    <row r="49">
      <c r="A49" t="n">
        <v>48</v>
      </c>
      <c r="B49" t="inlineStr">
        <is>
          <t>RVV-2x0.5</t>
        </is>
      </c>
      <c r="C49" t="inlineStr">
        <is>
          <t>RVV-2x0.5</t>
        </is>
      </c>
      <c r="D49" t="inlineStr">
        <is>
          <t>m</t>
        </is>
      </c>
      <c r="E49" t="inlineStr">
        <is>
          <t>B2</t>
        </is>
      </c>
      <c r="F49" t="n">
        <v>17</v>
      </c>
      <c r="G49" s="4" t="n">
        <v>12.6</v>
      </c>
      <c r="H49" s="5" t="n"/>
      <c r="I49" s="4" t="n">
        <v>213.7</v>
      </c>
      <c r="J49" s="6">
        <f>H49*F49</f>
        <v/>
      </c>
      <c r="K49" s="6">
        <f>J49-I49</f>
        <v/>
      </c>
      <c r="L49" s="7">
        <f>IF(I49=0,"",K49/I49)</f>
        <v/>
      </c>
      <c r="M49" s="6">
        <f>IF(ABS(L49)&lt;0.02," 合理",IF(ABS(L49)&lt;0.05," 关注"," 复查"))</f>
        <v/>
      </c>
    </row>
    <row r="50">
      <c r="A50" t="n">
        <v>49</v>
      </c>
      <c r="B50" t="inlineStr">
        <is>
          <t>RVV-2x0.5</t>
        </is>
      </c>
      <c r="C50" t="inlineStr">
        <is>
          <t>RVV-2x0.5</t>
        </is>
      </c>
      <c r="D50" t="inlineStr">
        <is>
          <t>m</t>
        </is>
      </c>
      <c r="E50" t="inlineStr">
        <is>
          <t>C</t>
        </is>
      </c>
      <c r="F50" t="n">
        <v>17</v>
      </c>
      <c r="G50" s="4" t="n">
        <v>13.4</v>
      </c>
      <c r="H50" s="5" t="n"/>
      <c r="I50" s="4" t="n">
        <v>227.8</v>
      </c>
      <c r="J50" s="6">
        <f>H50*F50</f>
        <v/>
      </c>
      <c r="K50" s="6">
        <f>J50-I50</f>
        <v/>
      </c>
      <c r="L50" s="7">
        <f>IF(I50=0,"",K50/I50)</f>
        <v/>
      </c>
      <c r="M50" s="6">
        <f>IF(ABS(L50)&lt;0.02," 合理",IF(ABS(L50)&lt;0.05," 关注"," 复查"))</f>
        <v/>
      </c>
    </row>
    <row r="51">
      <c r="A51" t="n">
        <v>50</v>
      </c>
      <c r="B51" t="inlineStr">
        <is>
          <t>RVV-2x0.5</t>
        </is>
      </c>
      <c r="C51" t="inlineStr">
        <is>
          <t>RVV-2x0.5</t>
        </is>
      </c>
      <c r="D51" t="inlineStr">
        <is>
          <t>m</t>
        </is>
      </c>
      <c r="E51" t="inlineStr">
        <is>
          <t>D1</t>
        </is>
      </c>
      <c r="F51" t="n">
        <v>34</v>
      </c>
      <c r="G51" s="4" t="n">
        <v>16</v>
      </c>
      <c r="H51" s="5" t="n"/>
      <c r="I51" s="4" t="n">
        <v>543.3</v>
      </c>
      <c r="J51" s="6">
        <f>H51*F51</f>
        <v/>
      </c>
      <c r="K51" s="6">
        <f>J51-I51</f>
        <v/>
      </c>
      <c r="L51" s="7">
        <f>IF(I51=0,"",K51/I51)</f>
        <v/>
      </c>
      <c r="M51" s="6">
        <f>IF(ABS(L51)&lt;0.02," 合理",IF(ABS(L51)&lt;0.05," 关注"," 复查"))</f>
        <v/>
      </c>
    </row>
    <row r="52">
      <c r="A52" t="n">
        <v>51</v>
      </c>
      <c r="B52" t="inlineStr">
        <is>
          <t>RVV-2x0.5</t>
        </is>
      </c>
      <c r="C52" t="inlineStr">
        <is>
          <t>RVV-2x0.5</t>
        </is>
      </c>
      <c r="D52" t="inlineStr">
        <is>
          <t>m</t>
        </is>
      </c>
      <c r="E52" t="inlineStr">
        <is>
          <t>D2</t>
        </is>
      </c>
      <c r="F52" t="n">
        <v>15</v>
      </c>
      <c r="G52" s="4" t="n">
        <v>16</v>
      </c>
      <c r="H52" s="5" t="n"/>
      <c r="I52" s="4" t="n">
        <v>239.7</v>
      </c>
      <c r="J52" s="6">
        <f>H52*F52</f>
        <v/>
      </c>
      <c r="K52" s="6">
        <f>J52-I52</f>
        <v/>
      </c>
      <c r="L52" s="7">
        <f>IF(I52=0,"",K52/I52)</f>
        <v/>
      </c>
      <c r="M52" s="6">
        <f>IF(ABS(L52)&lt;0.02," 合理",IF(ABS(L52)&lt;0.05," 关注"," 复查"))</f>
        <v/>
      </c>
    </row>
    <row r="53">
      <c r="A53" t="n">
        <v>52</v>
      </c>
      <c r="B53" t="inlineStr">
        <is>
          <t>RVV-2x0.5</t>
        </is>
      </c>
      <c r="C53" t="inlineStr">
        <is>
          <t>RVV-2x0.5</t>
        </is>
      </c>
      <c r="D53" t="inlineStr">
        <is>
          <t>m</t>
        </is>
      </c>
      <c r="E53" t="inlineStr">
        <is>
          <t>D3</t>
        </is>
      </c>
      <c r="F53" t="n">
        <v>2</v>
      </c>
      <c r="G53" s="4" t="n">
        <v>16</v>
      </c>
      <c r="H53" s="5" t="n"/>
      <c r="I53" s="4" t="n">
        <v>32</v>
      </c>
      <c r="J53" s="6">
        <f>H53*F53</f>
        <v/>
      </c>
      <c r="K53" s="6">
        <f>J53-I53</f>
        <v/>
      </c>
      <c r="L53" s="7">
        <f>IF(I53=0,"",K53/I53)</f>
        <v/>
      </c>
      <c r="M53" s="6">
        <f>IF(ABS(L53)&lt;0.02," 合理",IF(ABS(L53)&lt;0.05," 关注"," 复查"))</f>
        <v/>
      </c>
    </row>
    <row r="54">
      <c r="A54" t="n">
        <v>53</v>
      </c>
      <c r="B54" t="inlineStr">
        <is>
          <t>RVV-2x0.5</t>
        </is>
      </c>
      <c r="C54" t="inlineStr">
        <is>
          <t>RVV-2x0.5</t>
        </is>
      </c>
      <c r="D54" t="inlineStr">
        <is>
          <t>m</t>
        </is>
      </c>
      <c r="E54" t="inlineStr">
        <is>
          <t>D4</t>
        </is>
      </c>
      <c r="F54" t="n">
        <v>2</v>
      </c>
      <c r="G54" s="4" t="n">
        <v>16</v>
      </c>
      <c r="H54" s="5" t="n"/>
      <c r="I54" s="4" t="n">
        <v>32</v>
      </c>
      <c r="J54" s="6">
        <f>H54*F54</f>
        <v/>
      </c>
      <c r="K54" s="6">
        <f>J54-I54</f>
        <v/>
      </c>
      <c r="L54" s="7">
        <f>IF(I54=0,"",K54/I54)</f>
        <v/>
      </c>
      <c r="M54" s="6">
        <f>IF(ABS(L54)&lt;0.02," 合理",IF(ABS(L54)&lt;0.05," 关注"," 复查"))</f>
        <v/>
      </c>
    </row>
    <row r="55">
      <c r="A55" t="n">
        <v>54</v>
      </c>
      <c r="B55" t="inlineStr">
        <is>
          <t>RVV-2x0.5</t>
        </is>
      </c>
      <c r="C55" t="inlineStr">
        <is>
          <t>RVV-2x0.5</t>
        </is>
      </c>
      <c r="D55" t="inlineStr">
        <is>
          <t>m</t>
        </is>
      </c>
      <c r="E55" t="inlineStr">
        <is>
          <t>E</t>
        </is>
      </c>
      <c r="F55" t="n">
        <v>28</v>
      </c>
      <c r="G55" s="4" t="n">
        <v>13.7</v>
      </c>
      <c r="H55" s="5" t="n"/>
      <c r="I55" s="4" t="n">
        <v>383.6</v>
      </c>
      <c r="J55" s="6">
        <f>H55*F55</f>
        <v/>
      </c>
      <c r="K55" s="6">
        <f>J55-I55</f>
        <v/>
      </c>
      <c r="L55" s="7">
        <f>IF(I55=0,"",K55/I55)</f>
        <v/>
      </c>
      <c r="M55" s="6">
        <f>IF(ABS(L55)&lt;0.02," 合理",IF(ABS(L55)&lt;0.05," 关注"," 复查"))</f>
        <v/>
      </c>
    </row>
    <row r="56">
      <c r="A56" t="n">
        <v>55</v>
      </c>
      <c r="B56" t="inlineStr">
        <is>
          <t>RVV-4x0.5</t>
        </is>
      </c>
      <c r="C56" t="inlineStr">
        <is>
          <t>RVV-4x0.5</t>
        </is>
      </c>
      <c r="D56" t="inlineStr">
        <is>
          <t>m</t>
        </is>
      </c>
      <c r="E56" t="inlineStr">
        <is>
          <t>A1</t>
        </is>
      </c>
      <c r="F56" t="n">
        <v>34</v>
      </c>
      <c r="G56" s="4" t="n">
        <v>10.8</v>
      </c>
      <c r="H56" s="5" t="n"/>
      <c r="I56" s="4" t="n">
        <v>367.2</v>
      </c>
      <c r="J56" s="6">
        <f>H56*F56</f>
        <v/>
      </c>
      <c r="K56" s="6">
        <f>J56-I56</f>
        <v/>
      </c>
      <c r="L56" s="7">
        <f>IF(I56=0,"",K56/I56)</f>
        <v/>
      </c>
      <c r="M56" s="6">
        <f>IF(ABS(L56)&lt;0.02," 合理",IF(ABS(L56)&lt;0.05," 关注"," 复查"))</f>
        <v/>
      </c>
    </row>
    <row r="57">
      <c r="A57" t="n">
        <v>56</v>
      </c>
      <c r="B57" t="inlineStr">
        <is>
          <t>RVV-4x0.5</t>
        </is>
      </c>
      <c r="C57" t="inlineStr">
        <is>
          <t>RVV-4x0.5</t>
        </is>
      </c>
      <c r="D57" t="inlineStr">
        <is>
          <t>m</t>
        </is>
      </c>
      <c r="E57" t="inlineStr">
        <is>
          <t>B1</t>
        </is>
      </c>
      <c r="F57" t="n">
        <v>68</v>
      </c>
      <c r="G57" s="4" t="n">
        <v>11.8</v>
      </c>
      <c r="H57" s="5" t="n"/>
      <c r="I57" s="4" t="n">
        <v>802.4</v>
      </c>
      <c r="J57" s="6">
        <f>H57*F57</f>
        <v/>
      </c>
      <c r="K57" s="6">
        <f>J57-I57</f>
        <v/>
      </c>
      <c r="L57" s="7">
        <f>IF(I57=0,"",K57/I57)</f>
        <v/>
      </c>
      <c r="M57" s="6">
        <f>IF(ABS(L57)&lt;0.02," 合理",IF(ABS(L57)&lt;0.05," 关注"," 复查"))</f>
        <v/>
      </c>
    </row>
    <row r="58">
      <c r="A58" t="n">
        <v>57</v>
      </c>
      <c r="B58" t="inlineStr">
        <is>
          <t>RVV-4x0.5</t>
        </is>
      </c>
      <c r="C58" t="inlineStr">
        <is>
          <t>RVV-4x0.5</t>
        </is>
      </c>
      <c r="D58" t="inlineStr">
        <is>
          <t>m</t>
        </is>
      </c>
      <c r="E58" t="inlineStr">
        <is>
          <t>B2</t>
        </is>
      </c>
      <c r="F58" t="n">
        <v>17</v>
      </c>
      <c r="G58" s="4" t="n">
        <v>11.8</v>
      </c>
      <c r="H58" s="5" t="n"/>
      <c r="I58" s="4" t="n">
        <v>200.6</v>
      </c>
      <c r="J58" s="6">
        <f>H58*F58</f>
        <v/>
      </c>
      <c r="K58" s="6">
        <f>J58-I58</f>
        <v/>
      </c>
      <c r="L58" s="7">
        <f>IF(I58=0,"",K58/I58)</f>
        <v/>
      </c>
      <c r="M58" s="6">
        <f>IF(ABS(L58)&lt;0.02," 合理",IF(ABS(L58)&lt;0.05," 关注"," 复查"))</f>
        <v/>
      </c>
    </row>
    <row r="59">
      <c r="A59" t="n">
        <v>58</v>
      </c>
      <c r="B59" t="inlineStr">
        <is>
          <t>RVV-4x0.5</t>
        </is>
      </c>
      <c r="C59" t="inlineStr">
        <is>
          <t>RVV-4x0.5</t>
        </is>
      </c>
      <c r="D59" t="inlineStr">
        <is>
          <t>m</t>
        </is>
      </c>
      <c r="E59" t="inlineStr">
        <is>
          <t>C</t>
        </is>
      </c>
      <c r="F59" t="n">
        <v>17</v>
      </c>
      <c r="G59" s="4" t="n">
        <v>11.9</v>
      </c>
      <c r="H59" s="5" t="n"/>
      <c r="I59" s="4" t="n">
        <v>202</v>
      </c>
      <c r="J59" s="6">
        <f>H59*F59</f>
        <v/>
      </c>
      <c r="K59" s="6">
        <f>J59-I59</f>
        <v/>
      </c>
      <c r="L59" s="7">
        <f>IF(I59=0,"",K59/I59)</f>
        <v/>
      </c>
      <c r="M59" s="6">
        <f>IF(ABS(L59)&lt;0.02," 合理",IF(ABS(L59)&lt;0.05," 关注"," 复查"))</f>
        <v/>
      </c>
    </row>
    <row r="60">
      <c r="A60" t="n">
        <v>59</v>
      </c>
      <c r="B60" t="inlineStr">
        <is>
          <t>RVV-4x0.5</t>
        </is>
      </c>
      <c r="C60" t="inlineStr">
        <is>
          <t>RVV-4x0.5</t>
        </is>
      </c>
      <c r="D60" t="inlineStr">
        <is>
          <t>m</t>
        </is>
      </c>
      <c r="E60" t="inlineStr">
        <is>
          <t>D1</t>
        </is>
      </c>
      <c r="F60" t="n">
        <v>34</v>
      </c>
      <c r="G60" s="4" t="n">
        <v>11.3</v>
      </c>
      <c r="H60" s="5" t="n"/>
      <c r="I60" s="4" t="n">
        <v>383.9</v>
      </c>
      <c r="J60" s="6">
        <f>H60*F60</f>
        <v/>
      </c>
      <c r="K60" s="6">
        <f>J60-I60</f>
        <v/>
      </c>
      <c r="L60" s="7">
        <f>IF(I60=0,"",K60/I60)</f>
        <v/>
      </c>
      <c r="M60" s="6">
        <f>IF(ABS(L60)&lt;0.02," 合理",IF(ABS(L60)&lt;0.05," 关注"," 复查"))</f>
        <v/>
      </c>
    </row>
    <row r="61">
      <c r="A61" t="n">
        <v>60</v>
      </c>
      <c r="B61" t="inlineStr">
        <is>
          <t>RVV-4x0.5</t>
        </is>
      </c>
      <c r="C61" t="inlineStr">
        <is>
          <t>RVV-4x0.5</t>
        </is>
      </c>
      <c r="D61" t="inlineStr">
        <is>
          <t>m</t>
        </is>
      </c>
      <c r="E61" t="inlineStr">
        <is>
          <t>D2</t>
        </is>
      </c>
      <c r="F61" t="n">
        <v>15</v>
      </c>
      <c r="G61" s="4" t="n">
        <v>11.3</v>
      </c>
      <c r="H61" s="5" t="n"/>
      <c r="I61" s="4" t="n">
        <v>169.3</v>
      </c>
      <c r="J61" s="6">
        <f>H61*F61</f>
        <v/>
      </c>
      <c r="K61" s="6">
        <f>J61-I61</f>
        <v/>
      </c>
      <c r="L61" s="7">
        <f>IF(I61=0,"",K61/I61)</f>
        <v/>
      </c>
      <c r="M61" s="6">
        <f>IF(ABS(L61)&lt;0.02," 合理",IF(ABS(L61)&lt;0.05," 关注"," 复查"))</f>
        <v/>
      </c>
    </row>
    <row r="62">
      <c r="A62" t="n">
        <v>61</v>
      </c>
      <c r="B62" t="inlineStr">
        <is>
          <t>RVV-4x0.5</t>
        </is>
      </c>
      <c r="C62" t="inlineStr">
        <is>
          <t>RVV-4x0.5</t>
        </is>
      </c>
      <c r="D62" t="inlineStr">
        <is>
          <t>m</t>
        </is>
      </c>
      <c r="E62" t="inlineStr">
        <is>
          <t>D3</t>
        </is>
      </c>
      <c r="F62" t="n">
        <v>2</v>
      </c>
      <c r="G62" s="4" t="n">
        <v>11.3</v>
      </c>
      <c r="H62" s="5" t="n"/>
      <c r="I62" s="4" t="n">
        <v>22.6</v>
      </c>
      <c r="J62" s="6">
        <f>H62*F62</f>
        <v/>
      </c>
      <c r="K62" s="6">
        <f>J62-I62</f>
        <v/>
      </c>
      <c r="L62" s="7">
        <f>IF(I62=0,"",K62/I62)</f>
        <v/>
      </c>
      <c r="M62" s="6">
        <f>IF(ABS(L62)&lt;0.02," 合理",IF(ABS(L62)&lt;0.05," 关注"," 复查"))</f>
        <v/>
      </c>
    </row>
    <row r="63">
      <c r="A63" t="n">
        <v>62</v>
      </c>
      <c r="B63" t="inlineStr">
        <is>
          <t>RVV-4x0.5</t>
        </is>
      </c>
      <c r="C63" t="inlineStr">
        <is>
          <t>RVV-4x0.5</t>
        </is>
      </c>
      <c r="D63" t="inlineStr">
        <is>
          <t>m</t>
        </is>
      </c>
      <c r="E63" t="inlineStr">
        <is>
          <t>D4</t>
        </is>
      </c>
      <c r="F63" t="n">
        <v>2</v>
      </c>
      <c r="G63" s="4" t="n">
        <v>11.3</v>
      </c>
      <c r="H63" s="5" t="n"/>
      <c r="I63" s="4" t="n">
        <v>22.6</v>
      </c>
      <c r="J63" s="6">
        <f>H63*F63</f>
        <v/>
      </c>
      <c r="K63" s="6">
        <f>J63-I63</f>
        <v/>
      </c>
      <c r="L63" s="7">
        <f>IF(I63=0,"",K63/I63)</f>
        <v/>
      </c>
      <c r="M63" s="6">
        <f>IF(ABS(L63)&lt;0.02," 合理",IF(ABS(L63)&lt;0.05," 关注"," 复查"))</f>
        <v/>
      </c>
    </row>
    <row r="64">
      <c r="A64" t="n">
        <v>63</v>
      </c>
      <c r="B64" t="inlineStr">
        <is>
          <t>RVV-4x0.5</t>
        </is>
      </c>
      <c r="C64" t="inlineStr">
        <is>
          <t>RVV-4x0.5</t>
        </is>
      </c>
      <c r="D64" t="inlineStr">
        <is>
          <t>m</t>
        </is>
      </c>
      <c r="E64" t="inlineStr">
        <is>
          <t>E</t>
        </is>
      </c>
      <c r="F64" t="n">
        <v>28</v>
      </c>
      <c r="G64" s="4" t="n">
        <v>10.8</v>
      </c>
      <c r="H64" s="5" t="n"/>
      <c r="I64" s="4" t="n">
        <v>301.6</v>
      </c>
      <c r="J64" s="6">
        <f>H64*F64</f>
        <v/>
      </c>
      <c r="K64" s="6">
        <f>J64-I64</f>
        <v/>
      </c>
      <c r="L64" s="7">
        <f>IF(I64=0,"",K64/I64)</f>
        <v/>
      </c>
      <c r="M64" s="6">
        <f>IF(ABS(L64)&lt;0.02," 合理",IF(ABS(L64)&lt;0.05," 关注"," 复查"))</f>
        <v/>
      </c>
    </row>
    <row r="65">
      <c r="A65" t="n">
        <v>64</v>
      </c>
      <c r="B65" t="inlineStr">
        <is>
          <t>BVR-4</t>
        </is>
      </c>
      <c r="C65" t="inlineStr">
        <is>
          <t>BVR-4</t>
        </is>
      </c>
      <c r="D65" t="inlineStr">
        <is>
          <t>m</t>
        </is>
      </c>
      <c r="E65" t="inlineStr">
        <is>
          <t>A1</t>
        </is>
      </c>
      <c r="F65" t="n">
        <v>34</v>
      </c>
      <c r="G65" s="4" t="n">
        <v>38.6</v>
      </c>
      <c r="H65" s="5" t="n"/>
      <c r="I65" s="4" t="n">
        <v>1312.4</v>
      </c>
      <c r="J65" s="6">
        <f>H65*F65</f>
        <v/>
      </c>
      <c r="K65" s="6">
        <f>J65-I65</f>
        <v/>
      </c>
      <c r="L65" s="7">
        <f>IF(I65=0,"",K65/I65)</f>
        <v/>
      </c>
      <c r="M65" s="6">
        <f>IF(ABS(L65)&lt;0.02," 合理",IF(ABS(L65)&lt;0.05," 关注"," 复查"))</f>
        <v/>
      </c>
    </row>
    <row r="66">
      <c r="A66" t="n">
        <v>65</v>
      </c>
      <c r="B66" t="inlineStr">
        <is>
          <t>BVR-4</t>
        </is>
      </c>
      <c r="C66" t="inlineStr">
        <is>
          <t>BVR-4</t>
        </is>
      </c>
      <c r="D66" t="inlineStr">
        <is>
          <t>m</t>
        </is>
      </c>
      <c r="E66" t="inlineStr">
        <is>
          <t>B1</t>
        </is>
      </c>
      <c r="F66" t="n">
        <v>68</v>
      </c>
      <c r="G66" s="4" t="n">
        <v>44.1</v>
      </c>
      <c r="H66" s="5" t="n"/>
      <c r="I66" s="4" t="n">
        <v>2996.1</v>
      </c>
      <c r="J66" s="6">
        <f>H66*F66</f>
        <v/>
      </c>
      <c r="K66" s="6">
        <f>J66-I66</f>
        <v/>
      </c>
      <c r="L66" s="7">
        <f>IF(I66=0,"",K66/I66)</f>
        <v/>
      </c>
      <c r="M66" s="6">
        <f>IF(ABS(L66)&lt;0.02," 合理",IF(ABS(L66)&lt;0.05," 关注"," 复查"))</f>
        <v/>
      </c>
    </row>
    <row r="67">
      <c r="A67" t="n">
        <v>66</v>
      </c>
      <c r="B67" t="inlineStr">
        <is>
          <t>BVR-4</t>
        </is>
      </c>
      <c r="C67" t="inlineStr">
        <is>
          <t>BVR-4</t>
        </is>
      </c>
      <c r="D67" t="inlineStr">
        <is>
          <t>m</t>
        </is>
      </c>
      <c r="E67" t="inlineStr">
        <is>
          <t>B2</t>
        </is>
      </c>
      <c r="F67" t="n">
        <v>17</v>
      </c>
      <c r="G67" s="4" t="n">
        <v>44.1</v>
      </c>
      <c r="H67" s="5" t="n"/>
      <c r="I67" s="4" t="n">
        <v>749</v>
      </c>
      <c r="J67" s="6">
        <f>H67*F67</f>
        <v/>
      </c>
      <c r="K67" s="6">
        <f>J67-I67</f>
        <v/>
      </c>
      <c r="L67" s="7">
        <f>IF(I67=0,"",K67/I67)</f>
        <v/>
      </c>
      <c r="M67" s="6">
        <f>IF(ABS(L67)&lt;0.02," 合理",IF(ABS(L67)&lt;0.05," 关注"," 复查"))</f>
        <v/>
      </c>
    </row>
    <row r="68">
      <c r="A68" t="n">
        <v>67</v>
      </c>
      <c r="B68" t="inlineStr">
        <is>
          <t>BVR-4</t>
        </is>
      </c>
      <c r="C68" t="inlineStr">
        <is>
          <t>BVR-4</t>
        </is>
      </c>
      <c r="D68" t="inlineStr">
        <is>
          <t>m</t>
        </is>
      </c>
      <c r="E68" t="inlineStr">
        <is>
          <t>C</t>
        </is>
      </c>
      <c r="F68" t="n">
        <v>17</v>
      </c>
      <c r="G68" s="4" t="n">
        <v>45.3</v>
      </c>
      <c r="H68" s="5" t="n"/>
      <c r="I68" s="4" t="n">
        <v>770.4</v>
      </c>
      <c r="J68" s="6">
        <f>H68*F68</f>
        <v/>
      </c>
      <c r="K68" s="6">
        <f>J68-I68</f>
        <v/>
      </c>
      <c r="L68" s="7">
        <f>IF(I68=0,"",K68/I68)</f>
        <v/>
      </c>
      <c r="M68" s="6">
        <f>IF(ABS(L68)&lt;0.02," 合理",IF(ABS(L68)&lt;0.05," 关注"," 复查"))</f>
        <v/>
      </c>
    </row>
    <row r="69">
      <c r="A69" t="n">
        <v>68</v>
      </c>
      <c r="B69" t="inlineStr">
        <is>
          <t>BVR-4</t>
        </is>
      </c>
      <c r="C69" t="inlineStr">
        <is>
          <t>BVR-4</t>
        </is>
      </c>
      <c r="D69" t="inlineStr">
        <is>
          <t>m</t>
        </is>
      </c>
      <c r="E69" t="inlineStr">
        <is>
          <t>D1</t>
        </is>
      </c>
      <c r="F69" t="n">
        <v>34</v>
      </c>
      <c r="G69" s="4" t="n">
        <v>52.3</v>
      </c>
      <c r="H69" s="5" t="n"/>
      <c r="I69" s="4" t="n">
        <v>1777.9</v>
      </c>
      <c r="J69" s="6">
        <f>H69*F69</f>
        <v/>
      </c>
      <c r="K69" s="6">
        <f>J69-I69</f>
        <v/>
      </c>
      <c r="L69" s="7">
        <f>IF(I69=0,"",K69/I69)</f>
        <v/>
      </c>
      <c r="M69" s="6">
        <f>IF(ABS(L69)&lt;0.02," 合理",IF(ABS(L69)&lt;0.05," 关注"," 复查"))</f>
        <v/>
      </c>
    </row>
    <row r="70">
      <c r="A70" t="n">
        <v>69</v>
      </c>
      <c r="B70" t="inlineStr">
        <is>
          <t>BVR-4</t>
        </is>
      </c>
      <c r="C70" t="inlineStr">
        <is>
          <t>BVR-4</t>
        </is>
      </c>
      <c r="D70" t="inlineStr">
        <is>
          <t>m</t>
        </is>
      </c>
      <c r="E70" t="inlineStr">
        <is>
          <t>D2</t>
        </is>
      </c>
      <c r="F70" t="n">
        <v>15</v>
      </c>
      <c r="G70" s="4" t="n">
        <v>52.3</v>
      </c>
      <c r="H70" s="5" t="n"/>
      <c r="I70" s="4" t="n">
        <v>784.4</v>
      </c>
      <c r="J70" s="6">
        <f>H70*F70</f>
        <v/>
      </c>
      <c r="K70" s="6">
        <f>J70-I70</f>
        <v/>
      </c>
      <c r="L70" s="7">
        <f>IF(I70=0,"",K70/I70)</f>
        <v/>
      </c>
      <c r="M70" s="6">
        <f>IF(ABS(L70)&lt;0.02," 合理",IF(ABS(L70)&lt;0.05," 关注"," 复查"))</f>
        <v/>
      </c>
    </row>
    <row r="71">
      <c r="A71" t="n">
        <v>70</v>
      </c>
      <c r="B71" t="inlineStr">
        <is>
          <t>BVR-4</t>
        </is>
      </c>
      <c r="C71" t="inlineStr">
        <is>
          <t>BVR-4</t>
        </is>
      </c>
      <c r="D71" t="inlineStr">
        <is>
          <t>m</t>
        </is>
      </c>
      <c r="E71" t="inlineStr">
        <is>
          <t>D3</t>
        </is>
      </c>
      <c r="F71" t="n">
        <v>2</v>
      </c>
      <c r="G71" s="4" t="n">
        <v>52.3</v>
      </c>
      <c r="H71" s="5" t="n"/>
      <c r="I71" s="4" t="n">
        <v>104.6</v>
      </c>
      <c r="J71" s="6">
        <f>H71*F71</f>
        <v/>
      </c>
      <c r="K71" s="6">
        <f>J71-I71</f>
        <v/>
      </c>
      <c r="L71" s="7">
        <f>IF(I71=0,"",K71/I71)</f>
        <v/>
      </c>
      <c r="M71" s="6">
        <f>IF(ABS(L71)&lt;0.02," 合理",IF(ABS(L71)&lt;0.05," 关注"," 复查"))</f>
        <v/>
      </c>
    </row>
    <row r="72">
      <c r="A72" t="n">
        <v>71</v>
      </c>
      <c r="B72" t="inlineStr">
        <is>
          <t>BVR-4</t>
        </is>
      </c>
      <c r="C72" t="inlineStr">
        <is>
          <t>BVR-4</t>
        </is>
      </c>
      <c r="D72" t="inlineStr">
        <is>
          <t>m</t>
        </is>
      </c>
      <c r="E72" t="inlineStr">
        <is>
          <t>D4</t>
        </is>
      </c>
      <c r="F72" t="n">
        <v>2</v>
      </c>
      <c r="G72" s="4" t="n">
        <v>52.3</v>
      </c>
      <c r="H72" s="5" t="n"/>
      <c r="I72" s="4" t="n">
        <v>104.6</v>
      </c>
      <c r="J72" s="6">
        <f>H72*F72</f>
        <v/>
      </c>
      <c r="K72" s="6">
        <f>J72-I72</f>
        <v/>
      </c>
      <c r="L72" s="7">
        <f>IF(I72=0,"",K72/I72)</f>
        <v/>
      </c>
      <c r="M72" s="6">
        <f>IF(ABS(L72)&lt;0.02," 合理",IF(ABS(L72)&lt;0.05," 关注"," 复查"))</f>
        <v/>
      </c>
    </row>
    <row r="73">
      <c r="A73" t="n">
        <v>72</v>
      </c>
      <c r="B73" t="inlineStr">
        <is>
          <t>BVR-4</t>
        </is>
      </c>
      <c r="C73" t="inlineStr">
        <is>
          <t>BVR-4</t>
        </is>
      </c>
      <c r="D73" t="inlineStr">
        <is>
          <t>m</t>
        </is>
      </c>
      <c r="E73" t="inlineStr">
        <is>
          <t>E</t>
        </is>
      </c>
      <c r="F73" t="n">
        <v>28</v>
      </c>
      <c r="G73" s="4" t="n">
        <v>55.7</v>
      </c>
      <c r="H73" s="5" t="n"/>
      <c r="I73" s="4" t="n">
        <v>1559.6</v>
      </c>
      <c r="J73" s="6">
        <f>H73*F73</f>
        <v/>
      </c>
      <c r="K73" s="6">
        <f>J73-I73</f>
        <v/>
      </c>
      <c r="L73" s="7">
        <f>IF(I73=0,"",K73/I73)</f>
        <v/>
      </c>
      <c r="M73" s="6">
        <f>IF(ABS(L73)&lt;0.02," 合理",IF(ABS(L73)&lt;0.05," 关注"," 复查"))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" t="inlineStr">
        <is>
          <t>序号</t>
        </is>
      </c>
      <c r="B1" s="3" t="inlineStr">
        <is>
          <t>材料名称</t>
        </is>
      </c>
      <c r="C1" s="3" t="inlineStr">
        <is>
          <t>供应方式</t>
        </is>
      </c>
      <c r="D1" s="3" t="inlineStr">
        <is>
          <t>单位</t>
        </is>
      </c>
      <c r="E1" s="3" t="inlineStr">
        <is>
          <t>户型</t>
        </is>
      </c>
      <c r="F1" s="3" t="inlineStr">
        <is>
          <t>户数</t>
        </is>
      </c>
      <c r="G1" s="3" t="inlineStr">
        <is>
          <t>BOQ每户量</t>
        </is>
      </c>
      <c r="H1" s="3" t="inlineStr">
        <is>
          <t>图算每户量</t>
        </is>
      </c>
      <c r="I1" s="3" t="inlineStr">
        <is>
          <t>BOQ总量</t>
        </is>
      </c>
      <c r="J1" s="3" t="inlineStr">
        <is>
          <t>图算总量</t>
        </is>
      </c>
      <c r="K1" s="3" t="inlineStr">
        <is>
          <t>差异</t>
        </is>
      </c>
      <c r="L1" s="3" t="inlineStr">
        <is>
          <t>差异率</t>
        </is>
      </c>
      <c r="M1" s="3" t="inlineStr">
        <is>
          <t>判定</t>
        </is>
      </c>
    </row>
    <row r="2">
      <c r="A2" t="n">
        <v>1</v>
      </c>
      <c r="B2" t="inlineStr">
        <is>
          <t>强电配电箱</t>
        </is>
      </c>
      <c r="C2" t="inlineStr">
        <is>
          <t>甲供</t>
        </is>
      </c>
      <c r="D2" t="inlineStr">
        <is>
          <t>套</t>
        </is>
      </c>
      <c r="E2" t="inlineStr">
        <is>
          <t>A1</t>
        </is>
      </c>
      <c r="F2" t="n">
        <v>34</v>
      </c>
      <c r="G2" s="4" t="n">
        <v>1</v>
      </c>
      <c r="H2" s="5" t="n"/>
      <c r="I2" s="4" t="n">
        <v>34</v>
      </c>
      <c r="J2" s="6">
        <f>H2*F2</f>
        <v/>
      </c>
      <c r="K2" s="6">
        <f>J2-I2</f>
        <v/>
      </c>
      <c r="L2" s="7">
        <f>IF(I2=0,"",K2/I2)</f>
        <v/>
      </c>
      <c r="M2" s="6">
        <f>IF(ABS(L2)&lt;0.02," 合理",IF(ABS(L2)&lt;0.05," 关注"," 复查"))</f>
        <v/>
      </c>
    </row>
    <row r="3">
      <c r="A3" t="n">
        <v>2</v>
      </c>
      <c r="B3" t="inlineStr">
        <is>
          <t>强电配电箱</t>
        </is>
      </c>
      <c r="C3" t="inlineStr">
        <is>
          <t>甲供</t>
        </is>
      </c>
      <c r="D3" t="inlineStr">
        <is>
          <t>套</t>
        </is>
      </c>
      <c r="E3" t="inlineStr">
        <is>
          <t>B1</t>
        </is>
      </c>
      <c r="F3" t="n">
        <v>68</v>
      </c>
      <c r="G3" s="4" t="n">
        <v>1</v>
      </c>
      <c r="H3" s="5" t="n"/>
      <c r="I3" s="4" t="n">
        <v>68</v>
      </c>
      <c r="J3" s="6">
        <f>H3*F3</f>
        <v/>
      </c>
      <c r="K3" s="6">
        <f>J3-I3</f>
        <v/>
      </c>
      <c r="L3" s="7">
        <f>IF(I3=0,"",K3/I3)</f>
        <v/>
      </c>
      <c r="M3" s="6">
        <f>IF(ABS(L3)&lt;0.02," 合理",IF(ABS(L3)&lt;0.05," 关注"," 复查"))</f>
        <v/>
      </c>
    </row>
    <row r="4">
      <c r="A4" t="n">
        <v>3</v>
      </c>
      <c r="B4" t="inlineStr">
        <is>
          <t>强电配电箱</t>
        </is>
      </c>
      <c r="C4" t="inlineStr">
        <is>
          <t>甲供</t>
        </is>
      </c>
      <c r="D4" t="inlineStr">
        <is>
          <t>套</t>
        </is>
      </c>
      <c r="E4" t="inlineStr">
        <is>
          <t>B2</t>
        </is>
      </c>
      <c r="F4" t="n">
        <v>17</v>
      </c>
      <c r="G4" s="4" t="n">
        <v>1</v>
      </c>
      <c r="H4" s="5" t="n"/>
      <c r="I4" s="4" t="n">
        <v>17</v>
      </c>
      <c r="J4" s="6">
        <f>H4*F4</f>
        <v/>
      </c>
      <c r="K4" s="6">
        <f>J4-I4</f>
        <v/>
      </c>
      <c r="L4" s="7">
        <f>IF(I4=0,"",K4/I4)</f>
        <v/>
      </c>
      <c r="M4" s="6">
        <f>IF(ABS(L4)&lt;0.02," 合理",IF(ABS(L4)&lt;0.05," 关注"," 复查"))</f>
        <v/>
      </c>
    </row>
    <row r="5">
      <c r="A5" t="n">
        <v>4</v>
      </c>
      <c r="B5" t="inlineStr">
        <is>
          <t>强电配电箱</t>
        </is>
      </c>
      <c r="C5" t="inlineStr">
        <is>
          <t>甲供</t>
        </is>
      </c>
      <c r="D5" t="inlineStr">
        <is>
          <t>套</t>
        </is>
      </c>
      <c r="E5" t="inlineStr">
        <is>
          <t>C</t>
        </is>
      </c>
      <c r="F5" t="n">
        <v>17</v>
      </c>
      <c r="G5" s="4" t="n">
        <v>1</v>
      </c>
      <c r="H5" s="5" t="n"/>
      <c r="I5" s="4" t="n">
        <v>17</v>
      </c>
      <c r="J5" s="6">
        <f>H5*F5</f>
        <v/>
      </c>
      <c r="K5" s="6">
        <f>J5-I5</f>
        <v/>
      </c>
      <c r="L5" s="7">
        <f>IF(I5=0,"",K5/I5)</f>
        <v/>
      </c>
      <c r="M5" s="6">
        <f>IF(ABS(L5)&lt;0.02," 合理",IF(ABS(L5)&lt;0.05," 关注"," 复查"))</f>
        <v/>
      </c>
    </row>
    <row r="6">
      <c r="A6" t="n">
        <v>5</v>
      </c>
      <c r="B6" t="inlineStr">
        <is>
          <t>强电配电箱</t>
        </is>
      </c>
      <c r="C6" t="inlineStr">
        <is>
          <t>甲供</t>
        </is>
      </c>
      <c r="D6" t="inlineStr">
        <is>
          <t>套</t>
        </is>
      </c>
      <c r="E6" t="inlineStr">
        <is>
          <t>D1</t>
        </is>
      </c>
      <c r="F6" t="n">
        <v>34</v>
      </c>
      <c r="G6" s="4" t="n">
        <v>1</v>
      </c>
      <c r="H6" s="5" t="n"/>
      <c r="I6" s="4" t="n">
        <v>34</v>
      </c>
      <c r="J6" s="6">
        <f>H6*F6</f>
        <v/>
      </c>
      <c r="K6" s="6">
        <f>J6-I6</f>
        <v/>
      </c>
      <c r="L6" s="7">
        <f>IF(I6=0,"",K6/I6)</f>
        <v/>
      </c>
      <c r="M6" s="6">
        <f>IF(ABS(L6)&lt;0.02," 合理",IF(ABS(L6)&lt;0.05," 关注"," 复查"))</f>
        <v/>
      </c>
    </row>
    <row r="7">
      <c r="A7" t="n">
        <v>6</v>
      </c>
      <c r="B7" t="inlineStr">
        <is>
          <t>强电配电箱</t>
        </is>
      </c>
      <c r="C7" t="inlineStr">
        <is>
          <t>甲供</t>
        </is>
      </c>
      <c r="D7" t="inlineStr">
        <is>
          <t>套</t>
        </is>
      </c>
      <c r="E7" t="inlineStr">
        <is>
          <t>D2</t>
        </is>
      </c>
      <c r="F7" t="n">
        <v>15</v>
      </c>
      <c r="G7" s="4" t="n">
        <v>1</v>
      </c>
      <c r="H7" s="5" t="n"/>
      <c r="I7" s="4" t="n">
        <v>15</v>
      </c>
      <c r="J7" s="6">
        <f>H7*F7</f>
        <v/>
      </c>
      <c r="K7" s="6">
        <f>J7-I7</f>
        <v/>
      </c>
      <c r="L7" s="7">
        <f>IF(I7=0,"",K7/I7)</f>
        <v/>
      </c>
      <c r="M7" s="6">
        <f>IF(ABS(L7)&lt;0.02," 合理",IF(ABS(L7)&lt;0.05," 关注"," 复查"))</f>
        <v/>
      </c>
    </row>
    <row r="8">
      <c r="A8" t="n">
        <v>7</v>
      </c>
      <c r="B8" t="inlineStr">
        <is>
          <t>强电配电箱</t>
        </is>
      </c>
      <c r="C8" t="inlineStr">
        <is>
          <t>甲供</t>
        </is>
      </c>
      <c r="D8" t="inlineStr">
        <is>
          <t>套</t>
        </is>
      </c>
      <c r="E8" t="inlineStr">
        <is>
          <t>D3</t>
        </is>
      </c>
      <c r="F8" t="n">
        <v>2</v>
      </c>
      <c r="G8" s="4" t="n">
        <v>1</v>
      </c>
      <c r="H8" s="5" t="n"/>
      <c r="I8" s="4" t="n">
        <v>2</v>
      </c>
      <c r="J8" s="6">
        <f>H8*F8</f>
        <v/>
      </c>
      <c r="K8" s="6">
        <f>J8-I8</f>
        <v/>
      </c>
      <c r="L8" s="7">
        <f>IF(I8=0,"",K8/I8)</f>
        <v/>
      </c>
      <c r="M8" s="6">
        <f>IF(ABS(L8)&lt;0.02," 合理",IF(ABS(L8)&lt;0.05," 关注"," 复查"))</f>
        <v/>
      </c>
    </row>
    <row r="9">
      <c r="A9" t="n">
        <v>8</v>
      </c>
      <c r="B9" t="inlineStr">
        <is>
          <t>强电配电箱</t>
        </is>
      </c>
      <c r="C9" t="inlineStr">
        <is>
          <t>甲供</t>
        </is>
      </c>
      <c r="D9" t="inlineStr">
        <is>
          <t>套</t>
        </is>
      </c>
      <c r="E9" t="inlineStr">
        <is>
          <t>D4</t>
        </is>
      </c>
      <c r="F9" t="n">
        <v>2</v>
      </c>
      <c r="G9" s="4" t="n">
        <v>1</v>
      </c>
      <c r="H9" s="5" t="n"/>
      <c r="I9" s="4" t="n">
        <v>2</v>
      </c>
      <c r="J9" s="6">
        <f>H9*F9</f>
        <v/>
      </c>
      <c r="K9" s="6">
        <f>J9-I9</f>
        <v/>
      </c>
      <c r="L9" s="7">
        <f>IF(I9=0,"",K9/I9)</f>
        <v/>
      </c>
      <c r="M9" s="6">
        <f>IF(ABS(L9)&lt;0.02," 合理",IF(ABS(L9)&lt;0.05," 关注"," 复查"))</f>
        <v/>
      </c>
    </row>
    <row r="10">
      <c r="A10" t="n">
        <v>9</v>
      </c>
      <c r="B10" t="inlineStr">
        <is>
          <t>强电配电箱</t>
        </is>
      </c>
      <c r="C10" t="inlineStr">
        <is>
          <t>甲供</t>
        </is>
      </c>
      <c r="D10" t="inlineStr">
        <is>
          <t>套</t>
        </is>
      </c>
      <c r="E10" t="inlineStr">
        <is>
          <t>E</t>
        </is>
      </c>
      <c r="F10" t="n">
        <v>28</v>
      </c>
      <c r="G10" s="4" t="n">
        <v>1</v>
      </c>
      <c r="H10" s="5" t="n"/>
      <c r="I10" s="4" t="n">
        <v>28</v>
      </c>
      <c r="J10" s="6">
        <f>H10*F10</f>
        <v/>
      </c>
      <c r="K10" s="6">
        <f>J10-I10</f>
        <v/>
      </c>
      <c r="L10" s="7">
        <f>IF(I10=0,"",K10/I10)</f>
        <v/>
      </c>
      <c r="M10" s="6">
        <f>IF(ABS(L10)&lt;0.02," 合理",IF(ABS(L10)&lt;0.05," 关注"," 复查"))</f>
        <v/>
      </c>
    </row>
    <row r="11">
      <c r="A11" t="n">
        <v>10</v>
      </c>
      <c r="B11" t="inlineStr">
        <is>
          <t>射灯</t>
        </is>
      </c>
      <c r="C11" t="inlineStr">
        <is>
          <t>甲供</t>
        </is>
      </c>
      <c r="D11" t="inlineStr">
        <is>
          <t>套</t>
        </is>
      </c>
      <c r="E11" t="inlineStr">
        <is>
          <t>A1</t>
        </is>
      </c>
      <c r="F11" t="n">
        <v>34</v>
      </c>
      <c r="G11" s="4" t="n">
        <v>7</v>
      </c>
      <c r="H11" s="5" t="n"/>
      <c r="I11" s="4" t="n">
        <v>238</v>
      </c>
      <c r="J11" s="6">
        <f>H11*F11</f>
        <v/>
      </c>
      <c r="K11" s="6">
        <f>J11-I11</f>
        <v/>
      </c>
      <c r="L11" s="7">
        <f>IF(I11=0,"",K11/I11)</f>
        <v/>
      </c>
      <c r="M11" s="6">
        <f>IF(ABS(L11)&lt;0.02," 合理",IF(ABS(L11)&lt;0.05," 关注"," 复查"))</f>
        <v/>
      </c>
    </row>
    <row r="12">
      <c r="A12" t="n">
        <v>11</v>
      </c>
      <c r="B12" t="inlineStr">
        <is>
          <t>射灯</t>
        </is>
      </c>
      <c r="C12" t="inlineStr">
        <is>
          <t>甲供</t>
        </is>
      </c>
      <c r="D12" t="inlineStr">
        <is>
          <t>套</t>
        </is>
      </c>
      <c r="E12" t="inlineStr">
        <is>
          <t>B1</t>
        </is>
      </c>
      <c r="F12" t="n">
        <v>68</v>
      </c>
      <c r="G12" s="4" t="n">
        <v>17</v>
      </c>
      <c r="H12" s="5" t="n"/>
      <c r="I12" s="4" t="n">
        <v>1156</v>
      </c>
      <c r="J12" s="6">
        <f>H12*F12</f>
        <v/>
      </c>
      <c r="K12" s="6">
        <f>J12-I12</f>
        <v/>
      </c>
      <c r="L12" s="7">
        <f>IF(I12=0,"",K12/I12)</f>
        <v/>
      </c>
      <c r="M12" s="6">
        <f>IF(ABS(L12)&lt;0.02," 合理",IF(ABS(L12)&lt;0.05," 关注"," 复查"))</f>
        <v/>
      </c>
    </row>
    <row r="13">
      <c r="A13" t="n">
        <v>12</v>
      </c>
      <c r="B13" t="inlineStr">
        <is>
          <t>射灯</t>
        </is>
      </c>
      <c r="C13" t="inlineStr">
        <is>
          <t>甲供</t>
        </is>
      </c>
      <c r="D13" t="inlineStr">
        <is>
          <t>套</t>
        </is>
      </c>
      <c r="E13" t="inlineStr">
        <is>
          <t>B2</t>
        </is>
      </c>
      <c r="F13" t="n">
        <v>17</v>
      </c>
      <c r="G13" s="4" t="n">
        <v>18</v>
      </c>
      <c r="H13" s="5" t="n"/>
      <c r="I13" s="4" t="n">
        <v>306</v>
      </c>
      <c r="J13" s="6">
        <f>H13*F13</f>
        <v/>
      </c>
      <c r="K13" s="6">
        <f>J13-I13</f>
        <v/>
      </c>
      <c r="L13" s="7">
        <f>IF(I13=0,"",K13/I13)</f>
        <v/>
      </c>
      <c r="M13" s="6">
        <f>IF(ABS(L13)&lt;0.02," 合理",IF(ABS(L13)&lt;0.05," 关注"," 复查"))</f>
        <v/>
      </c>
    </row>
    <row r="14">
      <c r="A14" t="n">
        <v>13</v>
      </c>
      <c r="B14" t="inlineStr">
        <is>
          <t>射灯</t>
        </is>
      </c>
      <c r="C14" t="inlineStr">
        <is>
          <t>甲供</t>
        </is>
      </c>
      <c r="D14" t="inlineStr">
        <is>
          <t>套</t>
        </is>
      </c>
      <c r="E14" t="inlineStr">
        <is>
          <t>C</t>
        </is>
      </c>
      <c r="F14" t="n">
        <v>17</v>
      </c>
      <c r="G14" s="4" t="n">
        <v>12</v>
      </c>
      <c r="H14" s="5" t="n"/>
      <c r="I14" s="4" t="n">
        <v>204</v>
      </c>
      <c r="J14" s="6">
        <f>H14*F14</f>
        <v/>
      </c>
      <c r="K14" s="6">
        <f>J14-I14</f>
        <v/>
      </c>
      <c r="L14" s="7">
        <f>IF(I14=0,"",K14/I14)</f>
        <v/>
      </c>
      <c r="M14" s="6">
        <f>IF(ABS(L14)&lt;0.02," 合理",IF(ABS(L14)&lt;0.05," 关注"," 复查"))</f>
        <v/>
      </c>
    </row>
    <row r="15">
      <c r="A15" t="n">
        <v>14</v>
      </c>
      <c r="B15" t="inlineStr">
        <is>
          <t>射灯</t>
        </is>
      </c>
      <c r="C15" t="inlineStr">
        <is>
          <t>甲供</t>
        </is>
      </c>
      <c r="D15" t="inlineStr">
        <is>
          <t>套</t>
        </is>
      </c>
      <c r="E15" t="inlineStr">
        <is>
          <t>D1</t>
        </is>
      </c>
      <c r="F15" t="n">
        <v>34</v>
      </c>
      <c r="G15" s="4" t="n">
        <v>21</v>
      </c>
      <c r="H15" s="5" t="n"/>
      <c r="I15" s="4" t="n">
        <v>714</v>
      </c>
      <c r="J15" s="6">
        <f>H15*F15</f>
        <v/>
      </c>
      <c r="K15" s="6">
        <f>J15-I15</f>
        <v/>
      </c>
      <c r="L15" s="7">
        <f>IF(I15=0,"",K15/I15)</f>
        <v/>
      </c>
      <c r="M15" s="6">
        <f>IF(ABS(L15)&lt;0.02," 合理",IF(ABS(L15)&lt;0.05," 关注"," 复查"))</f>
        <v/>
      </c>
    </row>
    <row r="16">
      <c r="A16" t="n">
        <v>15</v>
      </c>
      <c r="B16" t="inlineStr">
        <is>
          <t>射灯</t>
        </is>
      </c>
      <c r="C16" t="inlineStr">
        <is>
          <t>甲供</t>
        </is>
      </c>
      <c r="D16" t="inlineStr">
        <is>
          <t>套</t>
        </is>
      </c>
      <c r="E16" t="inlineStr">
        <is>
          <t>D2</t>
        </is>
      </c>
      <c r="F16" t="n">
        <v>15</v>
      </c>
      <c r="G16" s="4" t="n">
        <v>29</v>
      </c>
      <c r="H16" s="5" t="n"/>
      <c r="I16" s="4" t="n">
        <v>435</v>
      </c>
      <c r="J16" s="6">
        <f>H16*F16</f>
        <v/>
      </c>
      <c r="K16" s="6">
        <f>J16-I16</f>
        <v/>
      </c>
      <c r="L16" s="7">
        <f>IF(I16=0,"",K16/I16)</f>
        <v/>
      </c>
      <c r="M16" s="6">
        <f>IF(ABS(L16)&lt;0.02," 合理",IF(ABS(L16)&lt;0.05," 关注"," 复查"))</f>
        <v/>
      </c>
    </row>
    <row r="17">
      <c r="A17" t="n">
        <v>16</v>
      </c>
      <c r="B17" t="inlineStr">
        <is>
          <t>射灯</t>
        </is>
      </c>
      <c r="C17" t="inlineStr">
        <is>
          <t>甲供</t>
        </is>
      </c>
      <c r="D17" t="inlineStr">
        <is>
          <t>套</t>
        </is>
      </c>
      <c r="E17" t="inlineStr">
        <is>
          <t>D3</t>
        </is>
      </c>
      <c r="F17" t="n">
        <v>2</v>
      </c>
      <c r="G17" s="4" t="n">
        <v>29</v>
      </c>
      <c r="H17" s="5" t="n"/>
      <c r="I17" s="4" t="n">
        <v>58</v>
      </c>
      <c r="J17" s="6">
        <f>H17*F17</f>
        <v/>
      </c>
      <c r="K17" s="6">
        <f>J17-I17</f>
        <v/>
      </c>
      <c r="L17" s="7">
        <f>IF(I17=0,"",K17/I17)</f>
        <v/>
      </c>
      <c r="M17" s="6">
        <f>IF(ABS(L17)&lt;0.02," 合理",IF(ABS(L17)&lt;0.05," 关注"," 复查"))</f>
        <v/>
      </c>
    </row>
    <row r="18">
      <c r="A18" t="n">
        <v>17</v>
      </c>
      <c r="B18" t="inlineStr">
        <is>
          <t>射灯</t>
        </is>
      </c>
      <c r="C18" t="inlineStr">
        <is>
          <t>甲供</t>
        </is>
      </c>
      <c r="D18" t="inlineStr">
        <is>
          <t>套</t>
        </is>
      </c>
      <c r="E18" t="inlineStr">
        <is>
          <t>D4</t>
        </is>
      </c>
      <c r="F18" t="n">
        <v>2</v>
      </c>
      <c r="G18" s="4" t="n">
        <v>29</v>
      </c>
      <c r="H18" s="5" t="n"/>
      <c r="I18" s="4" t="n">
        <v>58</v>
      </c>
      <c r="J18" s="6">
        <f>H18*F18</f>
        <v/>
      </c>
      <c r="K18" s="6">
        <f>J18-I18</f>
        <v/>
      </c>
      <c r="L18" s="7">
        <f>IF(I18=0,"",K18/I18)</f>
        <v/>
      </c>
      <c r="M18" s="6">
        <f>IF(ABS(L18)&lt;0.02," 合理",IF(ABS(L18)&lt;0.05," 关注"," 复查"))</f>
        <v/>
      </c>
    </row>
    <row r="19">
      <c r="A19" t="n">
        <v>18</v>
      </c>
      <c r="B19" t="inlineStr">
        <is>
          <t>射灯</t>
        </is>
      </c>
      <c r="C19" t="inlineStr">
        <is>
          <t>甲供</t>
        </is>
      </c>
      <c r="D19" t="inlineStr">
        <is>
          <t>套</t>
        </is>
      </c>
      <c r="E19" t="inlineStr">
        <is>
          <t>E</t>
        </is>
      </c>
      <c r="F19" t="n">
        <v>28</v>
      </c>
      <c r="G19" s="4" t="n">
        <v>33</v>
      </c>
      <c r="H19" s="5" t="n"/>
      <c r="I19" s="4" t="n">
        <v>924</v>
      </c>
      <c r="J19" s="6">
        <f>H19*F19</f>
        <v/>
      </c>
      <c r="K19" s="6">
        <f>J19-I19</f>
        <v/>
      </c>
      <c r="L19" s="7">
        <f>IF(I19=0,"",K19/I19)</f>
        <v/>
      </c>
      <c r="M19" s="6">
        <f>IF(ABS(L19)&lt;0.02," 合理",IF(ABS(L19)&lt;0.05," 关注"," 复查"))</f>
        <v/>
      </c>
    </row>
    <row r="20">
      <c r="A20" t="n">
        <v>19</v>
      </c>
      <c r="B20" t="inlineStr">
        <is>
          <t>感应射灯</t>
        </is>
      </c>
      <c r="C20" t="inlineStr">
        <is>
          <t>甲供</t>
        </is>
      </c>
      <c r="D20" t="inlineStr">
        <is>
          <t>套</t>
        </is>
      </c>
      <c r="E20" t="inlineStr">
        <is>
          <t>A1</t>
        </is>
      </c>
      <c r="F20" t="n">
        <v>34</v>
      </c>
      <c r="G20" s="4" t="n">
        <v>1</v>
      </c>
      <c r="H20" s="5" t="n"/>
      <c r="I20" s="4" t="n">
        <v>34</v>
      </c>
      <c r="J20" s="6">
        <f>H20*F20</f>
        <v/>
      </c>
      <c r="K20" s="6">
        <f>J20-I20</f>
        <v/>
      </c>
      <c r="L20" s="7">
        <f>IF(I20=0,"",K20/I20)</f>
        <v/>
      </c>
      <c r="M20" s="6">
        <f>IF(ABS(L20)&lt;0.02," 合理",IF(ABS(L20)&lt;0.05," 关注"," 复查"))</f>
        <v/>
      </c>
    </row>
    <row r="21">
      <c r="A21" t="n">
        <v>20</v>
      </c>
      <c r="B21" t="inlineStr">
        <is>
          <t>感应射灯</t>
        </is>
      </c>
      <c r="C21" t="inlineStr">
        <is>
          <t>甲供</t>
        </is>
      </c>
      <c r="D21" t="inlineStr">
        <is>
          <t>套</t>
        </is>
      </c>
      <c r="E21" t="inlineStr">
        <is>
          <t>B1</t>
        </is>
      </c>
      <c r="F21" t="n">
        <v>68</v>
      </c>
      <c r="G21" s="4" t="n">
        <v>1</v>
      </c>
      <c r="H21" s="5" t="n"/>
      <c r="I21" s="4" t="n">
        <v>68</v>
      </c>
      <c r="J21" s="6">
        <f>H21*F21</f>
        <v/>
      </c>
      <c r="K21" s="6">
        <f>J21-I21</f>
        <v/>
      </c>
      <c r="L21" s="7">
        <f>IF(I21=0,"",K21/I21)</f>
        <v/>
      </c>
      <c r="M21" s="6">
        <f>IF(ABS(L21)&lt;0.02," 合理",IF(ABS(L21)&lt;0.05," 关注"," 复查"))</f>
        <v/>
      </c>
    </row>
    <row r="22">
      <c r="A22" t="n">
        <v>21</v>
      </c>
      <c r="B22" t="inlineStr">
        <is>
          <t>感应射灯</t>
        </is>
      </c>
      <c r="C22" t="inlineStr">
        <is>
          <t>甲供</t>
        </is>
      </c>
      <c r="D22" t="inlineStr">
        <is>
          <t>套</t>
        </is>
      </c>
      <c r="E22" t="inlineStr">
        <is>
          <t>B2</t>
        </is>
      </c>
      <c r="F22" t="n">
        <v>17</v>
      </c>
      <c r="G22" s="4" t="n">
        <v>1</v>
      </c>
      <c r="H22" s="5" t="n"/>
      <c r="I22" s="4" t="n">
        <v>17</v>
      </c>
      <c r="J22" s="6">
        <f>H22*F22</f>
        <v/>
      </c>
      <c r="K22" s="6">
        <f>J22-I22</f>
        <v/>
      </c>
      <c r="L22" s="7">
        <f>IF(I22=0,"",K22/I22)</f>
        <v/>
      </c>
      <c r="M22" s="6">
        <f>IF(ABS(L22)&lt;0.02," 合理",IF(ABS(L22)&lt;0.05," 关注"," 复查"))</f>
        <v/>
      </c>
    </row>
    <row r="23">
      <c r="A23" t="n">
        <v>22</v>
      </c>
      <c r="B23" t="inlineStr">
        <is>
          <t>感应射灯</t>
        </is>
      </c>
      <c r="C23" t="inlineStr">
        <is>
          <t>甲供</t>
        </is>
      </c>
      <c r="D23" t="inlineStr">
        <is>
          <t>套</t>
        </is>
      </c>
      <c r="E23" t="inlineStr">
        <is>
          <t>C</t>
        </is>
      </c>
      <c r="F23" t="n">
        <v>17</v>
      </c>
      <c r="G23" s="4" t="n">
        <v>1</v>
      </c>
      <c r="H23" s="5" t="n"/>
      <c r="I23" s="4" t="n">
        <v>17</v>
      </c>
      <c r="J23" s="6">
        <f>H23*F23</f>
        <v/>
      </c>
      <c r="K23" s="6">
        <f>J23-I23</f>
        <v/>
      </c>
      <c r="L23" s="7">
        <f>IF(I23=0,"",K23/I23)</f>
        <v/>
      </c>
      <c r="M23" s="6">
        <f>IF(ABS(L23)&lt;0.02," 合理",IF(ABS(L23)&lt;0.05," 关注"," 复查"))</f>
        <v/>
      </c>
    </row>
    <row r="24">
      <c r="A24" t="n">
        <v>23</v>
      </c>
      <c r="B24" t="inlineStr">
        <is>
          <t>感应射灯</t>
        </is>
      </c>
      <c r="C24" t="inlineStr">
        <is>
          <t>甲供</t>
        </is>
      </c>
      <c r="D24" t="inlineStr">
        <is>
          <t>套</t>
        </is>
      </c>
      <c r="E24" t="inlineStr">
        <is>
          <t>D1</t>
        </is>
      </c>
      <c r="F24" t="n">
        <v>34</v>
      </c>
      <c r="G24" s="4" t="n">
        <v>1</v>
      </c>
      <c r="H24" s="5" t="n"/>
      <c r="I24" s="4" t="n">
        <v>34</v>
      </c>
      <c r="J24" s="6">
        <f>H24*F24</f>
        <v/>
      </c>
      <c r="K24" s="6">
        <f>J24-I24</f>
        <v/>
      </c>
      <c r="L24" s="7">
        <f>IF(I24=0,"",K24/I24)</f>
        <v/>
      </c>
      <c r="M24" s="6">
        <f>IF(ABS(L24)&lt;0.02," 合理",IF(ABS(L24)&lt;0.05," 关注"," 复查"))</f>
        <v/>
      </c>
    </row>
    <row r="25">
      <c r="A25" t="n">
        <v>24</v>
      </c>
      <c r="B25" t="inlineStr">
        <is>
          <t>感应射灯</t>
        </is>
      </c>
      <c r="C25" t="inlineStr">
        <is>
          <t>甲供</t>
        </is>
      </c>
      <c r="D25" t="inlineStr">
        <is>
          <t>套</t>
        </is>
      </c>
      <c r="E25" t="inlineStr">
        <is>
          <t>D2</t>
        </is>
      </c>
      <c r="F25" t="n">
        <v>15</v>
      </c>
      <c r="G25" s="4" t="n">
        <v>1</v>
      </c>
      <c r="H25" s="5" t="n"/>
      <c r="I25" s="4" t="n">
        <v>15</v>
      </c>
      <c r="J25" s="6">
        <f>H25*F25</f>
        <v/>
      </c>
      <c r="K25" s="6">
        <f>J25-I25</f>
        <v/>
      </c>
      <c r="L25" s="7">
        <f>IF(I25=0,"",K25/I25)</f>
        <v/>
      </c>
      <c r="M25" s="6">
        <f>IF(ABS(L25)&lt;0.02," 合理",IF(ABS(L25)&lt;0.05," 关注"," 复查"))</f>
        <v/>
      </c>
    </row>
    <row r="26">
      <c r="A26" t="n">
        <v>25</v>
      </c>
      <c r="B26" t="inlineStr">
        <is>
          <t>感应射灯</t>
        </is>
      </c>
      <c r="C26" t="inlineStr">
        <is>
          <t>甲供</t>
        </is>
      </c>
      <c r="D26" t="inlineStr">
        <is>
          <t>套</t>
        </is>
      </c>
      <c r="E26" t="inlineStr">
        <is>
          <t>D3</t>
        </is>
      </c>
      <c r="F26" t="n">
        <v>2</v>
      </c>
      <c r="G26" s="4" t="n">
        <v>1</v>
      </c>
      <c r="H26" s="5" t="n"/>
      <c r="I26" s="4" t="n">
        <v>2</v>
      </c>
      <c r="J26" s="6">
        <f>H26*F26</f>
        <v/>
      </c>
      <c r="K26" s="6">
        <f>J26-I26</f>
        <v/>
      </c>
      <c r="L26" s="7">
        <f>IF(I26=0,"",K26/I26)</f>
        <v/>
      </c>
      <c r="M26" s="6">
        <f>IF(ABS(L26)&lt;0.02," 合理",IF(ABS(L26)&lt;0.05," 关注"," 复查"))</f>
        <v/>
      </c>
    </row>
    <row r="27">
      <c r="A27" t="n">
        <v>26</v>
      </c>
      <c r="B27" t="inlineStr">
        <is>
          <t>感应射灯</t>
        </is>
      </c>
      <c r="C27" t="inlineStr">
        <is>
          <t>甲供</t>
        </is>
      </c>
      <c r="D27" t="inlineStr">
        <is>
          <t>套</t>
        </is>
      </c>
      <c r="E27" t="inlineStr">
        <is>
          <t>D4</t>
        </is>
      </c>
      <c r="F27" t="n">
        <v>2</v>
      </c>
      <c r="G27" s="4" t="n">
        <v>1</v>
      </c>
      <c r="H27" s="5" t="n"/>
      <c r="I27" s="4" t="n">
        <v>2</v>
      </c>
      <c r="J27" s="6">
        <f>H27*F27</f>
        <v/>
      </c>
      <c r="K27" s="6">
        <f>J27-I27</f>
        <v/>
      </c>
      <c r="L27" s="7">
        <f>IF(I27=0,"",K27/I27)</f>
        <v/>
      </c>
      <c r="M27" s="6">
        <f>IF(ABS(L27)&lt;0.02," 合理",IF(ABS(L27)&lt;0.05," 关注"," 复查"))</f>
        <v/>
      </c>
    </row>
    <row r="28">
      <c r="A28" t="n">
        <v>27</v>
      </c>
      <c r="B28" t="inlineStr">
        <is>
          <t>感应射灯</t>
        </is>
      </c>
      <c r="C28" t="inlineStr">
        <is>
          <t>甲供</t>
        </is>
      </c>
      <c r="D28" t="inlineStr">
        <is>
          <t>套</t>
        </is>
      </c>
      <c r="E28" t="inlineStr">
        <is>
          <t>E</t>
        </is>
      </c>
      <c r="F28" t="n">
        <v>28</v>
      </c>
      <c r="G28" s="4" t="n">
        <v>1</v>
      </c>
      <c r="H28" s="5" t="n"/>
      <c r="I28" s="4" t="n">
        <v>28</v>
      </c>
      <c r="J28" s="6">
        <f>H28*F28</f>
        <v/>
      </c>
      <c r="K28" s="6">
        <f>J28-I28</f>
        <v/>
      </c>
      <c r="L28" s="7">
        <f>IF(I28=0,"",K28/I28)</f>
        <v/>
      </c>
      <c r="M28" s="6">
        <f>IF(ABS(L28)&lt;0.02," 合理",IF(ABS(L28)&lt;0.05," 关注"," 复查"))</f>
        <v/>
      </c>
    </row>
    <row r="29">
      <c r="A29" t="n">
        <v>28</v>
      </c>
      <c r="B29" t="inlineStr">
        <is>
          <t>防雾射灯</t>
        </is>
      </c>
      <c r="C29" t="inlineStr">
        <is>
          <t>甲供</t>
        </is>
      </c>
      <c r="D29" t="inlineStr">
        <is>
          <t>套</t>
        </is>
      </c>
      <c r="E29" t="inlineStr">
        <is>
          <t>A1</t>
        </is>
      </c>
      <c r="F29" t="n">
        <v>34</v>
      </c>
      <c r="G29" s="4" t="n">
        <v>2</v>
      </c>
      <c r="H29" s="5" t="n"/>
      <c r="I29" s="4" t="n">
        <v>68</v>
      </c>
      <c r="J29" s="6">
        <f>H29*F29</f>
        <v/>
      </c>
      <c r="K29" s="6">
        <f>J29-I29</f>
        <v/>
      </c>
      <c r="L29" s="7">
        <f>IF(I29=0,"",K29/I29)</f>
        <v/>
      </c>
      <c r="M29" s="6">
        <f>IF(ABS(L29)&lt;0.02," 合理",IF(ABS(L29)&lt;0.05," 关注"," 复查"))</f>
        <v/>
      </c>
    </row>
    <row r="30">
      <c r="A30" t="n">
        <v>29</v>
      </c>
      <c r="B30" t="inlineStr">
        <is>
          <t>防雾射灯</t>
        </is>
      </c>
      <c r="C30" t="inlineStr">
        <is>
          <t>甲供</t>
        </is>
      </c>
      <c r="D30" t="inlineStr">
        <is>
          <t>套</t>
        </is>
      </c>
      <c r="E30" t="inlineStr">
        <is>
          <t>B1</t>
        </is>
      </c>
      <c r="F30" t="n">
        <v>68</v>
      </c>
      <c r="G30" s="4" t="n">
        <v>2</v>
      </c>
      <c r="H30" s="5" t="n"/>
      <c r="I30" s="4" t="n">
        <v>136</v>
      </c>
      <c r="J30" s="6">
        <f>H30*F30</f>
        <v/>
      </c>
      <c r="K30" s="6">
        <f>J30-I30</f>
        <v/>
      </c>
      <c r="L30" s="7">
        <f>IF(I30=0,"",K30/I30)</f>
        <v/>
      </c>
      <c r="M30" s="6">
        <f>IF(ABS(L30)&lt;0.02," 合理",IF(ABS(L30)&lt;0.05," 关注"," 复查"))</f>
        <v/>
      </c>
    </row>
    <row r="31">
      <c r="A31" t="n">
        <v>30</v>
      </c>
      <c r="B31" t="inlineStr">
        <is>
          <t>防雾射灯</t>
        </is>
      </c>
      <c r="C31" t="inlineStr">
        <is>
          <t>甲供</t>
        </is>
      </c>
      <c r="D31" t="inlineStr">
        <is>
          <t>套</t>
        </is>
      </c>
      <c r="E31" t="inlineStr">
        <is>
          <t>B2</t>
        </is>
      </c>
      <c r="F31" t="n">
        <v>17</v>
      </c>
      <c r="G31" s="4" t="n">
        <v>3</v>
      </c>
      <c r="H31" s="5" t="n"/>
      <c r="I31" s="4" t="n">
        <v>51</v>
      </c>
      <c r="J31" s="6">
        <f>H31*F31</f>
        <v/>
      </c>
      <c r="K31" s="6">
        <f>J31-I31</f>
        <v/>
      </c>
      <c r="L31" s="7">
        <f>IF(I31=0,"",K31/I31)</f>
        <v/>
      </c>
      <c r="M31" s="6">
        <f>IF(ABS(L31)&lt;0.02," 合理",IF(ABS(L31)&lt;0.05," 关注"," 复查"))</f>
        <v/>
      </c>
    </row>
    <row r="32">
      <c r="A32" t="n">
        <v>31</v>
      </c>
      <c r="B32" t="inlineStr">
        <is>
          <t>防雾射灯</t>
        </is>
      </c>
      <c r="C32" t="inlineStr">
        <is>
          <t>甲供</t>
        </is>
      </c>
      <c r="D32" t="inlineStr">
        <is>
          <t>套</t>
        </is>
      </c>
      <c r="E32" t="inlineStr">
        <is>
          <t>C</t>
        </is>
      </c>
      <c r="F32" t="n">
        <v>17</v>
      </c>
      <c r="G32" s="4" t="n">
        <v>3</v>
      </c>
      <c r="H32" s="5" t="n"/>
      <c r="I32" s="4" t="n">
        <v>51</v>
      </c>
      <c r="J32" s="6">
        <f>H32*F32</f>
        <v/>
      </c>
      <c r="K32" s="6">
        <f>J32-I32</f>
        <v/>
      </c>
      <c r="L32" s="7">
        <f>IF(I32=0,"",K32/I32)</f>
        <v/>
      </c>
      <c r="M32" s="6">
        <f>IF(ABS(L32)&lt;0.02," 合理",IF(ABS(L32)&lt;0.05," 关注"," 复查"))</f>
        <v/>
      </c>
    </row>
    <row r="33">
      <c r="A33" t="n">
        <v>32</v>
      </c>
      <c r="B33" t="inlineStr">
        <is>
          <t>防雾射灯</t>
        </is>
      </c>
      <c r="C33" t="inlineStr">
        <is>
          <t>甲供</t>
        </is>
      </c>
      <c r="D33" t="inlineStr">
        <is>
          <t>套</t>
        </is>
      </c>
      <c r="E33" t="inlineStr">
        <is>
          <t>D1</t>
        </is>
      </c>
      <c r="F33" t="n">
        <v>34</v>
      </c>
      <c r="G33" s="4" t="n">
        <v>3</v>
      </c>
      <c r="H33" s="5" t="n"/>
      <c r="I33" s="4" t="n">
        <v>102</v>
      </c>
      <c r="J33" s="6">
        <f>H33*F33</f>
        <v/>
      </c>
      <c r="K33" s="6">
        <f>J33-I33</f>
        <v/>
      </c>
      <c r="L33" s="7">
        <f>IF(I33=0,"",K33/I33)</f>
        <v/>
      </c>
      <c r="M33" s="6">
        <f>IF(ABS(L33)&lt;0.02," 合理",IF(ABS(L33)&lt;0.05," 关注"," 复查"))</f>
        <v/>
      </c>
    </row>
    <row r="34">
      <c r="A34" t="n">
        <v>33</v>
      </c>
      <c r="B34" t="inlineStr">
        <is>
          <t>防雾射灯</t>
        </is>
      </c>
      <c r="C34" t="inlineStr">
        <is>
          <t>甲供</t>
        </is>
      </c>
      <c r="D34" t="inlineStr">
        <is>
          <t>套</t>
        </is>
      </c>
      <c r="E34" t="inlineStr">
        <is>
          <t>D2</t>
        </is>
      </c>
      <c r="F34" t="n">
        <v>15</v>
      </c>
      <c r="G34" s="4" t="n">
        <v>4</v>
      </c>
      <c r="H34" s="5" t="n"/>
      <c r="I34" s="4" t="n">
        <v>60</v>
      </c>
      <c r="J34" s="6">
        <f>H34*F34</f>
        <v/>
      </c>
      <c r="K34" s="6">
        <f>J34-I34</f>
        <v/>
      </c>
      <c r="L34" s="7">
        <f>IF(I34=0,"",K34/I34)</f>
        <v/>
      </c>
      <c r="M34" s="6">
        <f>IF(ABS(L34)&lt;0.02," 合理",IF(ABS(L34)&lt;0.05," 关注"," 复查"))</f>
        <v/>
      </c>
    </row>
    <row r="35">
      <c r="A35" t="n">
        <v>34</v>
      </c>
      <c r="B35" t="inlineStr">
        <is>
          <t>防雾射灯</t>
        </is>
      </c>
      <c r="C35" t="inlineStr">
        <is>
          <t>甲供</t>
        </is>
      </c>
      <c r="D35" t="inlineStr">
        <is>
          <t>套</t>
        </is>
      </c>
      <c r="E35" t="inlineStr">
        <is>
          <t>D3</t>
        </is>
      </c>
      <c r="F35" t="n">
        <v>2</v>
      </c>
      <c r="G35" s="4" t="n">
        <v>3</v>
      </c>
      <c r="H35" s="5" t="n"/>
      <c r="I35" s="4" t="n">
        <v>6</v>
      </c>
      <c r="J35" s="6">
        <f>H35*F35</f>
        <v/>
      </c>
      <c r="K35" s="6">
        <f>J35-I35</f>
        <v/>
      </c>
      <c r="L35" s="7">
        <f>IF(I35=0,"",K35/I35)</f>
        <v/>
      </c>
      <c r="M35" s="6">
        <f>IF(ABS(L35)&lt;0.02," 合理",IF(ABS(L35)&lt;0.05," 关注"," 复查"))</f>
        <v/>
      </c>
    </row>
    <row r="36">
      <c r="A36" t="n">
        <v>35</v>
      </c>
      <c r="B36" t="inlineStr">
        <is>
          <t>防雾射灯</t>
        </is>
      </c>
      <c r="C36" t="inlineStr">
        <is>
          <t>甲供</t>
        </is>
      </c>
      <c r="D36" t="inlineStr">
        <is>
          <t>套</t>
        </is>
      </c>
      <c r="E36" t="inlineStr">
        <is>
          <t>D4</t>
        </is>
      </c>
      <c r="F36" t="n">
        <v>2</v>
      </c>
      <c r="G36" s="4" t="n">
        <v>3</v>
      </c>
      <c r="H36" s="5" t="n"/>
      <c r="I36" s="4" t="n">
        <v>6</v>
      </c>
      <c r="J36" s="6">
        <f>H36*F36</f>
        <v/>
      </c>
      <c r="K36" s="6">
        <f>J36-I36</f>
        <v/>
      </c>
      <c r="L36" s="7">
        <f>IF(I36=0,"",K36/I36)</f>
        <v/>
      </c>
      <c r="M36" s="6">
        <f>IF(ABS(L36)&lt;0.02," 合理",IF(ABS(L36)&lt;0.05," 关注"," 复查"))</f>
        <v/>
      </c>
    </row>
    <row r="37">
      <c r="A37" t="n">
        <v>36</v>
      </c>
      <c r="B37" t="inlineStr">
        <is>
          <t>防雾射灯</t>
        </is>
      </c>
      <c r="C37" t="inlineStr">
        <is>
          <t>甲供</t>
        </is>
      </c>
      <c r="D37" t="inlineStr">
        <is>
          <t>套</t>
        </is>
      </c>
      <c r="E37" t="inlineStr">
        <is>
          <t>E</t>
        </is>
      </c>
      <c r="F37" t="n">
        <v>28</v>
      </c>
      <c r="G37" s="4" t="n">
        <v>3</v>
      </c>
      <c r="H37" s="5" t="n"/>
      <c r="I37" s="4" t="n">
        <v>84</v>
      </c>
      <c r="J37" s="6">
        <f>H37*F37</f>
        <v/>
      </c>
      <c r="K37" s="6">
        <f>J37-I37</f>
        <v/>
      </c>
      <c r="L37" s="7">
        <f>IF(I37=0,"",K37/I37)</f>
        <v/>
      </c>
      <c r="M37" s="6">
        <f>IF(ABS(L37)&lt;0.02," 合理",IF(ABS(L37)&lt;0.05," 关注"," 复查"))</f>
        <v/>
      </c>
    </row>
    <row r="38">
      <c r="A38" t="n">
        <v>37</v>
      </c>
      <c r="B38" t="inlineStr">
        <is>
          <t>白炽灯</t>
        </is>
      </c>
      <c r="C38" t="inlineStr">
        <is>
          <t>甲供</t>
        </is>
      </c>
      <c r="D38" t="inlineStr">
        <is>
          <t>套</t>
        </is>
      </c>
      <c r="E38" t="inlineStr">
        <is>
          <t>A1</t>
        </is>
      </c>
      <c r="F38" t="n">
        <v>34</v>
      </c>
      <c r="G38" s="4" t="n">
        <v>6</v>
      </c>
      <c r="H38" s="5" t="n"/>
      <c r="I38" s="4" t="n">
        <v>204</v>
      </c>
      <c r="J38" s="6">
        <f>H38*F38</f>
        <v/>
      </c>
      <c r="K38" s="6">
        <f>J38-I38</f>
        <v/>
      </c>
      <c r="L38" s="7">
        <f>IF(I38=0,"",K38/I38)</f>
        <v/>
      </c>
      <c r="M38" s="6">
        <f>IF(ABS(L38)&lt;0.02," 合理",IF(ABS(L38)&lt;0.05," 关注"," 复查"))</f>
        <v/>
      </c>
    </row>
    <row r="39">
      <c r="A39" t="n">
        <v>38</v>
      </c>
      <c r="B39" t="inlineStr">
        <is>
          <t>白炽灯</t>
        </is>
      </c>
      <c r="C39" t="inlineStr">
        <is>
          <t>甲供</t>
        </is>
      </c>
      <c r="D39" t="inlineStr">
        <is>
          <t>套</t>
        </is>
      </c>
      <c r="E39" t="inlineStr">
        <is>
          <t>B1</t>
        </is>
      </c>
      <c r="F39" t="n">
        <v>68</v>
      </c>
      <c r="G39" s="4" t="n">
        <v>6</v>
      </c>
      <c r="H39" s="5" t="n"/>
      <c r="I39" s="4" t="n">
        <v>408</v>
      </c>
      <c r="J39" s="6">
        <f>H39*F39</f>
        <v/>
      </c>
      <c r="K39" s="6">
        <f>J39-I39</f>
        <v/>
      </c>
      <c r="L39" s="7">
        <f>IF(I39=0,"",K39/I39)</f>
        <v/>
      </c>
      <c r="M39" s="6">
        <f>IF(ABS(L39)&lt;0.02," 合理",IF(ABS(L39)&lt;0.05," 关注"," 复查"))</f>
        <v/>
      </c>
    </row>
    <row r="40">
      <c r="A40" t="n">
        <v>39</v>
      </c>
      <c r="B40" t="inlineStr">
        <is>
          <t>白炽灯</t>
        </is>
      </c>
      <c r="C40" t="inlineStr">
        <is>
          <t>甲供</t>
        </is>
      </c>
      <c r="D40" t="inlineStr">
        <is>
          <t>套</t>
        </is>
      </c>
      <c r="E40" t="inlineStr">
        <is>
          <t>B2</t>
        </is>
      </c>
      <c r="F40" t="n">
        <v>17</v>
      </c>
      <c r="G40" s="4" t="n">
        <v>6</v>
      </c>
      <c r="H40" s="5" t="n"/>
      <c r="I40" s="4" t="n">
        <v>102</v>
      </c>
      <c r="J40" s="6">
        <f>H40*F40</f>
        <v/>
      </c>
      <c r="K40" s="6">
        <f>J40-I40</f>
        <v/>
      </c>
      <c r="L40" s="7">
        <f>IF(I40=0,"",K40/I40)</f>
        <v/>
      </c>
      <c r="M40" s="6">
        <f>IF(ABS(L40)&lt;0.02," 合理",IF(ABS(L40)&lt;0.05," 关注"," 复查"))</f>
        <v/>
      </c>
    </row>
    <row r="41">
      <c r="A41" t="n">
        <v>40</v>
      </c>
      <c r="B41" t="inlineStr">
        <is>
          <t>白炽灯</t>
        </is>
      </c>
      <c r="C41" t="inlineStr">
        <is>
          <t>甲供</t>
        </is>
      </c>
      <c r="D41" t="inlineStr">
        <is>
          <t>套</t>
        </is>
      </c>
      <c r="E41" t="inlineStr">
        <is>
          <t>C</t>
        </is>
      </c>
      <c r="F41" t="n">
        <v>17</v>
      </c>
      <c r="G41" s="4" t="n">
        <v>6</v>
      </c>
      <c r="H41" s="5" t="n"/>
      <c r="I41" s="4" t="n">
        <v>102</v>
      </c>
      <c r="J41" s="6">
        <f>H41*F41</f>
        <v/>
      </c>
      <c r="K41" s="6">
        <f>J41-I41</f>
        <v/>
      </c>
      <c r="L41" s="7">
        <f>IF(I41=0,"",K41/I41)</f>
        <v/>
      </c>
      <c r="M41" s="6">
        <f>IF(ABS(L41)&lt;0.02," 合理",IF(ABS(L41)&lt;0.05," 关注"," 复查"))</f>
        <v/>
      </c>
    </row>
    <row r="42">
      <c r="A42" t="n">
        <v>41</v>
      </c>
      <c r="B42" t="inlineStr">
        <is>
          <t>白炽灯</t>
        </is>
      </c>
      <c r="C42" t="inlineStr">
        <is>
          <t>甲供</t>
        </is>
      </c>
      <c r="D42" t="inlineStr">
        <is>
          <t>套</t>
        </is>
      </c>
      <c r="E42" t="inlineStr">
        <is>
          <t>D1</t>
        </is>
      </c>
      <c r="F42" t="n">
        <v>34</v>
      </c>
      <c r="G42" s="4" t="n">
        <v>8</v>
      </c>
      <c r="H42" s="5" t="n"/>
      <c r="I42" s="4" t="n">
        <v>272</v>
      </c>
      <c r="J42" s="6">
        <f>H42*F42</f>
        <v/>
      </c>
      <c r="K42" s="6">
        <f>J42-I42</f>
        <v/>
      </c>
      <c r="L42" s="7">
        <f>IF(I42=0,"",K42/I42)</f>
        <v/>
      </c>
      <c r="M42" s="6">
        <f>IF(ABS(L42)&lt;0.02," 合理",IF(ABS(L42)&lt;0.05," 关注"," 复查"))</f>
        <v/>
      </c>
    </row>
    <row r="43">
      <c r="A43" t="n">
        <v>42</v>
      </c>
      <c r="B43" t="inlineStr">
        <is>
          <t>白炽灯</t>
        </is>
      </c>
      <c r="C43" t="inlineStr">
        <is>
          <t>甲供</t>
        </is>
      </c>
      <c r="D43" t="inlineStr">
        <is>
          <t>套</t>
        </is>
      </c>
      <c r="E43" t="inlineStr">
        <is>
          <t>D2</t>
        </is>
      </c>
      <c r="F43" t="n">
        <v>15</v>
      </c>
      <c r="G43" s="4" t="n">
        <v>8</v>
      </c>
      <c r="H43" s="5" t="n"/>
      <c r="I43" s="4" t="n">
        <v>120</v>
      </c>
      <c r="J43" s="6">
        <f>H43*F43</f>
        <v/>
      </c>
      <c r="K43" s="6">
        <f>J43-I43</f>
        <v/>
      </c>
      <c r="L43" s="7">
        <f>IF(I43=0,"",K43/I43)</f>
        <v/>
      </c>
      <c r="M43" s="6">
        <f>IF(ABS(L43)&lt;0.02," 合理",IF(ABS(L43)&lt;0.05," 关注"," 复查"))</f>
        <v/>
      </c>
    </row>
    <row r="44">
      <c r="A44" t="n">
        <v>43</v>
      </c>
      <c r="B44" t="inlineStr">
        <is>
          <t>白炽灯</t>
        </is>
      </c>
      <c r="C44" t="inlineStr">
        <is>
          <t>甲供</t>
        </is>
      </c>
      <c r="D44" t="inlineStr">
        <is>
          <t>套</t>
        </is>
      </c>
      <c r="E44" t="inlineStr">
        <is>
          <t>D3</t>
        </is>
      </c>
      <c r="F44" t="n">
        <v>2</v>
      </c>
      <c r="G44" s="4" t="n">
        <v>8</v>
      </c>
      <c r="H44" s="5" t="n"/>
      <c r="I44" s="4" t="n">
        <v>16</v>
      </c>
      <c r="J44" s="6">
        <f>H44*F44</f>
        <v/>
      </c>
      <c r="K44" s="6">
        <f>J44-I44</f>
        <v/>
      </c>
      <c r="L44" s="7">
        <f>IF(I44=0,"",K44/I44)</f>
        <v/>
      </c>
      <c r="M44" s="6">
        <f>IF(ABS(L44)&lt;0.02," 合理",IF(ABS(L44)&lt;0.05," 关注"," 复查"))</f>
        <v/>
      </c>
    </row>
    <row r="45">
      <c r="A45" t="n">
        <v>44</v>
      </c>
      <c r="B45" t="inlineStr">
        <is>
          <t>白炽灯</t>
        </is>
      </c>
      <c r="C45" t="inlineStr">
        <is>
          <t>甲供</t>
        </is>
      </c>
      <c r="D45" t="inlineStr">
        <is>
          <t>套</t>
        </is>
      </c>
      <c r="E45" t="inlineStr">
        <is>
          <t>D4</t>
        </is>
      </c>
      <c r="F45" t="n">
        <v>2</v>
      </c>
      <c r="G45" s="4" t="n">
        <v>8</v>
      </c>
      <c r="H45" s="5" t="n"/>
      <c r="I45" s="4" t="n">
        <v>16</v>
      </c>
      <c r="J45" s="6">
        <f>H45*F45</f>
        <v/>
      </c>
      <c r="K45" s="6">
        <f>J45-I45</f>
        <v/>
      </c>
      <c r="L45" s="7">
        <f>IF(I45=0,"",K45/I45)</f>
        <v/>
      </c>
      <c r="M45" s="6">
        <f>IF(ABS(L45)&lt;0.02," 合理",IF(ABS(L45)&lt;0.05," 关注"," 复查"))</f>
        <v/>
      </c>
    </row>
    <row r="46">
      <c r="A46" t="n">
        <v>45</v>
      </c>
      <c r="B46" t="inlineStr">
        <is>
          <t>白炽灯</t>
        </is>
      </c>
      <c r="C46" t="inlineStr">
        <is>
          <t>甲供</t>
        </is>
      </c>
      <c r="D46" t="inlineStr">
        <is>
          <t>套</t>
        </is>
      </c>
      <c r="E46" t="inlineStr">
        <is>
          <t>E</t>
        </is>
      </c>
      <c r="F46" t="n">
        <v>28</v>
      </c>
      <c r="G46" s="4" t="n">
        <v>7</v>
      </c>
      <c r="H46" s="5" t="n"/>
      <c r="I46" s="4" t="n">
        <v>196</v>
      </c>
      <c r="J46" s="6">
        <f>H46*F46</f>
        <v/>
      </c>
      <c r="K46" s="6">
        <f>J46-I46</f>
        <v/>
      </c>
      <c r="L46" s="7">
        <f>IF(I46=0,"",K46/I46)</f>
        <v/>
      </c>
      <c r="M46" s="6">
        <f>IF(ABS(L46)&lt;0.02," 合理",IF(ABS(L46)&lt;0.05," 关注"," 复查"))</f>
        <v/>
      </c>
    </row>
    <row r="47">
      <c r="A47" t="n">
        <v>46</v>
      </c>
      <c r="B47" t="inlineStr">
        <is>
          <t>铝槽灯带(1)</t>
        </is>
      </c>
      <c r="C47" t="inlineStr">
        <is>
          <t>甲供</t>
        </is>
      </c>
      <c r="D47" t="inlineStr">
        <is>
          <t>m</t>
        </is>
      </c>
      <c r="E47" t="inlineStr">
        <is>
          <t>A1</t>
        </is>
      </c>
      <c r="F47" t="n">
        <v>34</v>
      </c>
      <c r="G47" s="4" t="n">
        <v>38.03</v>
      </c>
      <c r="H47" s="5" t="n"/>
      <c r="I47" s="4" t="n">
        <v>1293.02</v>
      </c>
      <c r="J47" s="6">
        <f>H47*F47</f>
        <v/>
      </c>
      <c r="K47" s="6">
        <f>J47-I47</f>
        <v/>
      </c>
      <c r="L47" s="7">
        <f>IF(I47=0,"",K47/I47)</f>
        <v/>
      </c>
      <c r="M47" s="6">
        <f>IF(ABS(L47)&lt;0.02," 合理",IF(ABS(L47)&lt;0.05," 关注"," 复查"))</f>
        <v/>
      </c>
    </row>
    <row r="48">
      <c r="A48" t="n">
        <v>47</v>
      </c>
      <c r="B48" t="inlineStr">
        <is>
          <t>铝槽灯带(1)</t>
        </is>
      </c>
      <c r="C48" t="inlineStr">
        <is>
          <t>甲供</t>
        </is>
      </c>
      <c r="D48" t="inlineStr">
        <is>
          <t>m</t>
        </is>
      </c>
      <c r="E48" t="inlineStr">
        <is>
          <t>B1</t>
        </is>
      </c>
      <c r="F48" t="n">
        <v>68</v>
      </c>
      <c r="G48" s="4" t="n">
        <v>45.03</v>
      </c>
      <c r="H48" s="5" t="n"/>
      <c r="I48" s="4" t="n">
        <v>3062.04</v>
      </c>
      <c r="J48" s="6">
        <f>H48*F48</f>
        <v/>
      </c>
      <c r="K48" s="6">
        <f>J48-I48</f>
        <v/>
      </c>
      <c r="L48" s="7">
        <f>IF(I48=0,"",K48/I48)</f>
        <v/>
      </c>
      <c r="M48" s="6">
        <f>IF(ABS(L48)&lt;0.02," 合理",IF(ABS(L48)&lt;0.05," 关注"," 复查"))</f>
        <v/>
      </c>
    </row>
    <row r="49">
      <c r="A49" t="n">
        <v>48</v>
      </c>
      <c r="B49" t="inlineStr">
        <is>
          <t>铝槽灯带(1)</t>
        </is>
      </c>
      <c r="C49" t="inlineStr">
        <is>
          <t>甲供</t>
        </is>
      </c>
      <c r="D49" t="inlineStr">
        <is>
          <t>m</t>
        </is>
      </c>
      <c r="E49" t="inlineStr">
        <is>
          <t>B2</t>
        </is>
      </c>
      <c r="F49" t="n">
        <v>17</v>
      </c>
      <c r="G49" s="4" t="n">
        <v>45.03</v>
      </c>
      <c r="H49" s="5" t="n"/>
      <c r="I49" s="4" t="n">
        <v>765.51</v>
      </c>
      <c r="J49" s="6">
        <f>H49*F49</f>
        <v/>
      </c>
      <c r="K49" s="6">
        <f>J49-I49</f>
        <v/>
      </c>
      <c r="L49" s="7">
        <f>IF(I49=0,"",K49/I49)</f>
        <v/>
      </c>
      <c r="M49" s="6">
        <f>IF(ABS(L49)&lt;0.02," 合理",IF(ABS(L49)&lt;0.05," 关注"," 复查"))</f>
        <v/>
      </c>
    </row>
    <row r="50">
      <c r="A50" t="n">
        <v>49</v>
      </c>
      <c r="B50" t="inlineStr">
        <is>
          <t>铝槽灯带(1)</t>
        </is>
      </c>
      <c r="C50" t="inlineStr">
        <is>
          <t>甲供</t>
        </is>
      </c>
      <c r="D50" t="inlineStr">
        <is>
          <t>m</t>
        </is>
      </c>
      <c r="E50" t="inlineStr">
        <is>
          <t>C</t>
        </is>
      </c>
      <c r="F50" t="n">
        <v>17</v>
      </c>
      <c r="G50" s="4" t="n">
        <v>36.51</v>
      </c>
      <c r="H50" s="5" t="n"/>
      <c r="I50" s="4" t="n">
        <v>620.67</v>
      </c>
      <c r="J50" s="6">
        <f>H50*F50</f>
        <v/>
      </c>
      <c r="K50" s="6">
        <f>J50-I50</f>
        <v/>
      </c>
      <c r="L50" s="7">
        <f>IF(I50=0,"",K50/I50)</f>
        <v/>
      </c>
      <c r="M50" s="6">
        <f>IF(ABS(L50)&lt;0.02," 合理",IF(ABS(L50)&lt;0.05," 关注"," 复查"))</f>
        <v/>
      </c>
    </row>
    <row r="51">
      <c r="A51" t="n">
        <v>50</v>
      </c>
      <c r="B51" t="inlineStr">
        <is>
          <t>铝槽灯带(1)</t>
        </is>
      </c>
      <c r="C51" t="inlineStr">
        <is>
          <t>甲供</t>
        </is>
      </c>
      <c r="D51" t="inlineStr">
        <is>
          <t>m</t>
        </is>
      </c>
      <c r="E51" t="inlineStr">
        <is>
          <t>D1</t>
        </is>
      </c>
      <c r="F51" t="n">
        <v>34</v>
      </c>
      <c r="G51" s="4" t="n">
        <v>41.26</v>
      </c>
      <c r="H51" s="5" t="n"/>
      <c r="I51" s="4" t="n">
        <v>1402.84</v>
      </c>
      <c r="J51" s="6">
        <f>H51*F51</f>
        <v/>
      </c>
      <c r="K51" s="6">
        <f>J51-I51</f>
        <v/>
      </c>
      <c r="L51" s="7">
        <f>IF(I51=0,"",K51/I51)</f>
        <v/>
      </c>
      <c r="M51" s="6">
        <f>IF(ABS(L51)&lt;0.02," 合理",IF(ABS(L51)&lt;0.05," 关注"," 复查"))</f>
        <v/>
      </c>
    </row>
    <row r="52">
      <c r="A52" t="n">
        <v>51</v>
      </c>
      <c r="B52" t="inlineStr">
        <is>
          <t>铝槽灯带(1)</t>
        </is>
      </c>
      <c r="C52" t="inlineStr">
        <is>
          <t>甲供</t>
        </is>
      </c>
      <c r="D52" t="inlineStr">
        <is>
          <t>m</t>
        </is>
      </c>
      <c r="E52" t="inlineStr">
        <is>
          <t>D2</t>
        </is>
      </c>
      <c r="F52" t="n">
        <v>15</v>
      </c>
      <c r="G52" s="4" t="n">
        <v>41.26</v>
      </c>
      <c r="H52" s="5" t="n"/>
      <c r="I52" s="4" t="n">
        <v>618.9</v>
      </c>
      <c r="J52" s="6">
        <f>H52*F52</f>
        <v/>
      </c>
      <c r="K52" s="6">
        <f>J52-I52</f>
        <v/>
      </c>
      <c r="L52" s="7">
        <f>IF(I52=0,"",K52/I52)</f>
        <v/>
      </c>
      <c r="M52" s="6">
        <f>IF(ABS(L52)&lt;0.02," 合理",IF(ABS(L52)&lt;0.05," 关注"," 复查"))</f>
        <v/>
      </c>
    </row>
    <row r="53">
      <c r="A53" t="n">
        <v>52</v>
      </c>
      <c r="B53" t="inlineStr">
        <is>
          <t>铝槽灯带(1)</t>
        </is>
      </c>
      <c r="C53" t="inlineStr">
        <is>
          <t>甲供</t>
        </is>
      </c>
      <c r="D53" t="inlineStr">
        <is>
          <t>m</t>
        </is>
      </c>
      <c r="E53" t="inlineStr">
        <is>
          <t>D3</t>
        </is>
      </c>
      <c r="F53" t="n">
        <v>2</v>
      </c>
      <c r="G53" s="4" t="n">
        <v>41.26</v>
      </c>
      <c r="H53" s="5" t="n"/>
      <c r="I53" s="4" t="n">
        <v>82.52</v>
      </c>
      <c r="J53" s="6">
        <f>H53*F53</f>
        <v/>
      </c>
      <c r="K53" s="6">
        <f>J53-I53</f>
        <v/>
      </c>
      <c r="L53" s="7">
        <f>IF(I53=0,"",K53/I53)</f>
        <v/>
      </c>
      <c r="M53" s="6">
        <f>IF(ABS(L53)&lt;0.02," 合理",IF(ABS(L53)&lt;0.05," 关注"," 复查"))</f>
        <v/>
      </c>
    </row>
    <row r="54">
      <c r="A54" t="n">
        <v>53</v>
      </c>
      <c r="B54" t="inlineStr">
        <is>
          <t>铝槽灯带(1)</t>
        </is>
      </c>
      <c r="C54" t="inlineStr">
        <is>
          <t>甲供</t>
        </is>
      </c>
      <c r="D54" t="inlineStr">
        <is>
          <t>m</t>
        </is>
      </c>
      <c r="E54" t="inlineStr">
        <is>
          <t>D4</t>
        </is>
      </c>
      <c r="F54" t="n">
        <v>2</v>
      </c>
      <c r="G54" s="4" t="n">
        <v>41.26</v>
      </c>
      <c r="H54" s="5" t="n"/>
      <c r="I54" s="4" t="n">
        <v>82.52</v>
      </c>
      <c r="J54" s="6">
        <f>H54*F54</f>
        <v/>
      </c>
      <c r="K54" s="6">
        <f>J54-I54</f>
        <v/>
      </c>
      <c r="L54" s="7">
        <f>IF(I54=0,"",K54/I54)</f>
        <v/>
      </c>
      <c r="M54" s="6">
        <f>IF(ABS(L54)&lt;0.02," 合理",IF(ABS(L54)&lt;0.05," 关注"," 复查"))</f>
        <v/>
      </c>
    </row>
    <row r="55">
      <c r="A55" t="n">
        <v>54</v>
      </c>
      <c r="B55" t="inlineStr">
        <is>
          <t>铝槽灯带(1)</t>
        </is>
      </c>
      <c r="C55" t="inlineStr">
        <is>
          <t>甲供</t>
        </is>
      </c>
      <c r="D55" t="inlineStr">
        <is>
          <t>m</t>
        </is>
      </c>
      <c r="E55" t="inlineStr">
        <is>
          <t>E</t>
        </is>
      </c>
      <c r="F55" t="n">
        <v>28</v>
      </c>
      <c r="G55" s="4" t="n">
        <v>52.83</v>
      </c>
      <c r="H55" s="5" t="n"/>
      <c r="I55" s="4" t="n">
        <v>1479.24</v>
      </c>
      <c r="J55" s="6">
        <f>H55*F55</f>
        <v/>
      </c>
      <c r="K55" s="6">
        <f>J55-I55</f>
        <v/>
      </c>
      <c r="L55" s="7">
        <f>IF(I55=0,"",K55/I55)</f>
        <v/>
      </c>
      <c r="M55" s="6">
        <f>IF(ABS(L55)&lt;0.02," 合理",IF(ABS(L55)&lt;0.05," 关注"," 复查"))</f>
        <v/>
      </c>
    </row>
    <row r="56">
      <c r="A56" t="n">
        <v>55</v>
      </c>
      <c r="B56" t="inlineStr">
        <is>
          <t>铝槽灯带(2)</t>
        </is>
      </c>
      <c r="C56" t="inlineStr">
        <is>
          <t>甲供</t>
        </is>
      </c>
      <c r="D56" t="inlineStr">
        <is>
          <t>m</t>
        </is>
      </c>
      <c r="E56" t="inlineStr">
        <is>
          <t>A1</t>
        </is>
      </c>
      <c r="F56" t="n">
        <v>34</v>
      </c>
      <c r="G56" s="4" t="n">
        <v>8.32</v>
      </c>
      <c r="H56" s="5" t="n"/>
      <c r="I56" s="4" t="n">
        <v>282.88</v>
      </c>
      <c r="J56" s="6">
        <f>H56*F56</f>
        <v/>
      </c>
      <c r="K56" s="6">
        <f>J56-I56</f>
        <v/>
      </c>
      <c r="L56" s="7">
        <f>IF(I56=0,"",K56/I56)</f>
        <v/>
      </c>
      <c r="M56" s="6">
        <f>IF(ABS(L56)&lt;0.02," 合理",IF(ABS(L56)&lt;0.05," 关注"," 复查"))</f>
        <v/>
      </c>
    </row>
    <row r="57">
      <c r="A57" t="n">
        <v>56</v>
      </c>
      <c r="B57" t="inlineStr">
        <is>
          <t>铝槽灯带(2)</t>
        </is>
      </c>
      <c r="C57" t="inlineStr">
        <is>
          <t>甲供</t>
        </is>
      </c>
      <c r="D57" t="inlineStr">
        <is>
          <t>m</t>
        </is>
      </c>
      <c r="E57" t="inlineStr">
        <is>
          <t>B1</t>
        </is>
      </c>
      <c r="F57" t="n">
        <v>68</v>
      </c>
      <c r="G57" s="4" t="n">
        <v>18.05</v>
      </c>
      <c r="H57" s="5" t="n"/>
      <c r="I57" s="4" t="n">
        <v>1227.4</v>
      </c>
      <c r="J57" s="6">
        <f>H57*F57</f>
        <v/>
      </c>
      <c r="K57" s="6">
        <f>J57-I57</f>
        <v/>
      </c>
      <c r="L57" s="7">
        <f>IF(I57=0,"",K57/I57)</f>
        <v/>
      </c>
      <c r="M57" s="6">
        <f>IF(ABS(L57)&lt;0.02," 合理",IF(ABS(L57)&lt;0.05," 关注"," 复查"))</f>
        <v/>
      </c>
    </row>
    <row r="58">
      <c r="A58" t="n">
        <v>57</v>
      </c>
      <c r="B58" t="inlineStr">
        <is>
          <t>铝槽灯带(2)</t>
        </is>
      </c>
      <c r="C58" t="inlineStr">
        <is>
          <t>甲供</t>
        </is>
      </c>
      <c r="D58" t="inlineStr">
        <is>
          <t>m</t>
        </is>
      </c>
      <c r="E58" t="inlineStr">
        <is>
          <t>B2</t>
        </is>
      </c>
      <c r="F58" t="n">
        <v>17</v>
      </c>
      <c r="G58" s="4" t="n">
        <v>18.05</v>
      </c>
      <c r="H58" s="5" t="n"/>
      <c r="I58" s="4" t="n">
        <v>306.85</v>
      </c>
      <c r="J58" s="6">
        <f>H58*F58</f>
        <v/>
      </c>
      <c r="K58" s="6">
        <f>J58-I58</f>
        <v/>
      </c>
      <c r="L58" s="7">
        <f>IF(I58=0,"",K58/I58)</f>
        <v/>
      </c>
      <c r="M58" s="6">
        <f>IF(ABS(L58)&lt;0.02," 合理",IF(ABS(L58)&lt;0.05," 关注"," 复查"))</f>
        <v/>
      </c>
    </row>
    <row r="59">
      <c r="A59" t="n">
        <v>58</v>
      </c>
      <c r="B59" t="inlineStr">
        <is>
          <t>铝槽灯带(2)</t>
        </is>
      </c>
      <c r="C59" t="inlineStr">
        <is>
          <t>甲供</t>
        </is>
      </c>
      <c r="D59" t="inlineStr">
        <is>
          <t>m</t>
        </is>
      </c>
      <c r="E59" t="inlineStr">
        <is>
          <t>C</t>
        </is>
      </c>
      <c r="F59" t="n">
        <v>17</v>
      </c>
      <c r="G59" s="4" t="n">
        <v>11.07</v>
      </c>
      <c r="H59" s="5" t="n"/>
      <c r="I59" s="4" t="n">
        <v>188.19</v>
      </c>
      <c r="J59" s="6">
        <f>H59*F59</f>
        <v/>
      </c>
      <c r="K59" s="6">
        <f>J59-I59</f>
        <v/>
      </c>
      <c r="L59" s="7">
        <f>IF(I59=0,"",K59/I59)</f>
        <v/>
      </c>
      <c r="M59" s="6">
        <f>IF(ABS(L59)&lt;0.02," 合理",IF(ABS(L59)&lt;0.05," 关注"," 复查"))</f>
        <v/>
      </c>
    </row>
    <row r="60">
      <c r="A60" t="n">
        <v>59</v>
      </c>
      <c r="B60" t="inlineStr">
        <is>
          <t>铝槽灯带(2)</t>
        </is>
      </c>
      <c r="C60" t="inlineStr">
        <is>
          <t>甲供</t>
        </is>
      </c>
      <c r="D60" t="inlineStr">
        <is>
          <t>m</t>
        </is>
      </c>
      <c r="E60" t="inlineStr">
        <is>
          <t>D1</t>
        </is>
      </c>
      <c r="F60" t="n">
        <v>34</v>
      </c>
      <c r="G60" s="4" t="n">
        <v>15.55</v>
      </c>
      <c r="H60" s="5" t="n"/>
      <c r="I60" s="4" t="n">
        <v>528.7</v>
      </c>
      <c r="J60" s="6">
        <f>H60*F60</f>
        <v/>
      </c>
      <c r="K60" s="6">
        <f>J60-I60</f>
        <v/>
      </c>
      <c r="L60" s="7">
        <f>IF(I60=0,"",K60/I60)</f>
        <v/>
      </c>
      <c r="M60" s="6">
        <f>IF(ABS(L60)&lt;0.02," 合理",IF(ABS(L60)&lt;0.05," 关注"," 复查"))</f>
        <v/>
      </c>
    </row>
    <row r="61">
      <c r="A61" t="n">
        <v>60</v>
      </c>
      <c r="B61" t="inlineStr">
        <is>
          <t>铝槽灯带(2)</t>
        </is>
      </c>
      <c r="C61" t="inlineStr">
        <is>
          <t>甲供</t>
        </is>
      </c>
      <c r="D61" t="inlineStr">
        <is>
          <t>m</t>
        </is>
      </c>
      <c r="E61" t="inlineStr">
        <is>
          <t>D2</t>
        </is>
      </c>
      <c r="F61" t="n">
        <v>15</v>
      </c>
      <c r="G61" s="4" t="n">
        <v>15.55</v>
      </c>
      <c r="H61" s="5" t="n"/>
      <c r="I61" s="4" t="n">
        <v>233.25</v>
      </c>
      <c r="J61" s="6">
        <f>H61*F61</f>
        <v/>
      </c>
      <c r="K61" s="6">
        <f>J61-I61</f>
        <v/>
      </c>
      <c r="L61" s="7">
        <f>IF(I61=0,"",K61/I61)</f>
        <v/>
      </c>
      <c r="M61" s="6">
        <f>IF(ABS(L61)&lt;0.02," 合理",IF(ABS(L61)&lt;0.05," 关注"," 复查"))</f>
        <v/>
      </c>
    </row>
    <row r="62">
      <c r="A62" t="n">
        <v>61</v>
      </c>
      <c r="B62" t="inlineStr">
        <is>
          <t>铝槽灯带(2)</t>
        </is>
      </c>
      <c r="C62" t="inlineStr">
        <is>
          <t>甲供</t>
        </is>
      </c>
      <c r="D62" t="inlineStr">
        <is>
          <t>m</t>
        </is>
      </c>
      <c r="E62" t="inlineStr">
        <is>
          <t>D3</t>
        </is>
      </c>
      <c r="F62" t="n">
        <v>2</v>
      </c>
      <c r="G62" s="4" t="n">
        <v>15.55</v>
      </c>
      <c r="H62" s="5" t="n"/>
      <c r="I62" s="4" t="n">
        <v>31.1</v>
      </c>
      <c r="J62" s="6">
        <f>H62*F62</f>
        <v/>
      </c>
      <c r="K62" s="6">
        <f>J62-I62</f>
        <v/>
      </c>
      <c r="L62" s="7">
        <f>IF(I62=0,"",K62/I62)</f>
        <v/>
      </c>
      <c r="M62" s="6">
        <f>IF(ABS(L62)&lt;0.02," 合理",IF(ABS(L62)&lt;0.05," 关注"," 复查"))</f>
        <v/>
      </c>
    </row>
    <row r="63">
      <c r="A63" t="n">
        <v>62</v>
      </c>
      <c r="B63" t="inlineStr">
        <is>
          <t>铝槽灯带(2)</t>
        </is>
      </c>
      <c r="C63" t="inlineStr">
        <is>
          <t>甲供</t>
        </is>
      </c>
      <c r="D63" t="inlineStr">
        <is>
          <t>m</t>
        </is>
      </c>
      <c r="E63" t="inlineStr">
        <is>
          <t>D4</t>
        </is>
      </c>
      <c r="F63" t="n">
        <v>2</v>
      </c>
      <c r="G63" s="4" t="n">
        <v>15.55</v>
      </c>
      <c r="H63" s="5" t="n"/>
      <c r="I63" s="4" t="n">
        <v>31.1</v>
      </c>
      <c r="J63" s="6">
        <f>H63*F63</f>
        <v/>
      </c>
      <c r="K63" s="6">
        <f>J63-I63</f>
        <v/>
      </c>
      <c r="L63" s="7">
        <f>IF(I63=0,"",K63/I63)</f>
        <v/>
      </c>
      <c r="M63" s="6">
        <f>IF(ABS(L63)&lt;0.02," 合理",IF(ABS(L63)&lt;0.05," 关注"," 复查"))</f>
        <v/>
      </c>
    </row>
    <row r="64">
      <c r="A64" t="n">
        <v>63</v>
      </c>
      <c r="B64" t="inlineStr">
        <is>
          <t>铝槽灯带(2)</t>
        </is>
      </c>
      <c r="C64" t="inlineStr">
        <is>
          <t>甲供</t>
        </is>
      </c>
      <c r="D64" t="inlineStr">
        <is>
          <t>m</t>
        </is>
      </c>
      <c r="E64" t="inlineStr">
        <is>
          <t>E</t>
        </is>
      </c>
      <c r="F64" t="n">
        <v>28</v>
      </c>
      <c r="G64" s="4" t="n">
        <v>15.59</v>
      </c>
      <c r="H64" s="5" t="n"/>
      <c r="I64" s="4" t="n">
        <v>436.52</v>
      </c>
      <c r="J64" s="6">
        <f>H64*F64</f>
        <v/>
      </c>
      <c r="K64" s="6">
        <f>J64-I64</f>
        <v/>
      </c>
      <c r="L64" s="7">
        <f>IF(I64=0,"",K64/I64)</f>
        <v/>
      </c>
      <c r="M64" s="6">
        <f>IF(ABS(L64)&lt;0.02," 合理",IF(ABS(L64)&lt;0.05," 关注"," 复查"))</f>
        <v/>
      </c>
    </row>
    <row r="65">
      <c r="A65" t="n">
        <v>64</v>
      </c>
      <c r="B65" t="inlineStr">
        <is>
          <t>铝槽灯带(3)</t>
        </is>
      </c>
      <c r="C65" t="inlineStr">
        <is>
          <t>甲供</t>
        </is>
      </c>
      <c r="D65" t="inlineStr">
        <is>
          <t>m</t>
        </is>
      </c>
      <c r="E65" t="inlineStr">
        <is>
          <t>A1</t>
        </is>
      </c>
      <c r="F65" t="n">
        <v>34</v>
      </c>
      <c r="G65" s="4" t="n">
        <v>8.9</v>
      </c>
      <c r="H65" s="5" t="n"/>
      <c r="I65" s="4" t="n">
        <v>302.6</v>
      </c>
      <c r="J65" s="6">
        <f>H65*F65</f>
        <v/>
      </c>
      <c r="K65" s="6">
        <f>J65-I65</f>
        <v/>
      </c>
      <c r="L65" s="7">
        <f>IF(I65=0,"",K65/I65)</f>
        <v/>
      </c>
      <c r="M65" s="6">
        <f>IF(ABS(L65)&lt;0.02," 合理",IF(ABS(L65)&lt;0.05," 关注"," 复查"))</f>
        <v/>
      </c>
    </row>
    <row r="66">
      <c r="A66" t="n">
        <v>65</v>
      </c>
      <c r="B66" t="inlineStr">
        <is>
          <t>铝槽灯带(3)</t>
        </is>
      </c>
      <c r="C66" t="inlineStr">
        <is>
          <t>甲供</t>
        </is>
      </c>
      <c r="D66" t="inlineStr">
        <is>
          <t>m</t>
        </is>
      </c>
      <c r="E66" t="inlineStr">
        <is>
          <t>C</t>
        </is>
      </c>
      <c r="F66" t="n">
        <v>17</v>
      </c>
      <c r="G66" s="4" t="n">
        <v>8.34</v>
      </c>
      <c r="H66" s="5" t="n"/>
      <c r="I66" s="4" t="n">
        <v>141.78</v>
      </c>
      <c r="J66" s="6">
        <f>H66*F66</f>
        <v/>
      </c>
      <c r="K66" s="6">
        <f>J66-I66</f>
        <v/>
      </c>
      <c r="L66" s="7">
        <f>IF(I66=0,"",K66/I66)</f>
        <v/>
      </c>
      <c r="M66" s="6">
        <f>IF(ABS(L66)&lt;0.02," 合理",IF(ABS(L66)&lt;0.05," 关注"," 复查"))</f>
        <v/>
      </c>
    </row>
    <row r="67">
      <c r="A67" t="n">
        <v>66</v>
      </c>
      <c r="B67" t="inlineStr">
        <is>
          <t>凉霸专用开关</t>
        </is>
      </c>
      <c r="C67" t="inlineStr">
        <is>
          <t>甲供</t>
        </is>
      </c>
      <c r="D67" t="inlineStr">
        <is>
          <t>个</t>
        </is>
      </c>
      <c r="E67" t="inlineStr">
        <is>
          <t>A1</t>
        </is>
      </c>
      <c r="F67" t="n">
        <v>34</v>
      </c>
      <c r="G67" s="4" t="n">
        <v>1</v>
      </c>
      <c r="H67" s="5" t="n"/>
      <c r="I67" s="4" t="n">
        <v>34</v>
      </c>
      <c r="J67" s="6">
        <f>H67*F67</f>
        <v/>
      </c>
      <c r="K67" s="6">
        <f>J67-I67</f>
        <v/>
      </c>
      <c r="L67" s="7">
        <f>IF(I67=0,"",K67/I67)</f>
        <v/>
      </c>
      <c r="M67" s="6">
        <f>IF(ABS(L67)&lt;0.02," 合理",IF(ABS(L67)&lt;0.05," 关注"," 复查"))</f>
        <v/>
      </c>
    </row>
    <row r="68">
      <c r="A68" t="n">
        <v>67</v>
      </c>
      <c r="B68" t="inlineStr">
        <is>
          <t>凉霸专用开关</t>
        </is>
      </c>
      <c r="C68" t="inlineStr">
        <is>
          <t>甲供</t>
        </is>
      </c>
      <c r="D68" t="inlineStr">
        <is>
          <t>个</t>
        </is>
      </c>
      <c r="E68" t="inlineStr">
        <is>
          <t>B1</t>
        </is>
      </c>
      <c r="F68" t="n">
        <v>68</v>
      </c>
      <c r="G68" s="4" t="n">
        <v>1</v>
      </c>
      <c r="H68" s="5" t="n"/>
      <c r="I68" s="4" t="n">
        <v>68</v>
      </c>
      <c r="J68" s="6">
        <f>H68*F68</f>
        <v/>
      </c>
      <c r="K68" s="6">
        <f>J68-I68</f>
        <v/>
      </c>
      <c r="L68" s="7">
        <f>IF(I68=0,"",K68/I68)</f>
        <v/>
      </c>
      <c r="M68" s="6">
        <f>IF(ABS(L68)&lt;0.02," 合理",IF(ABS(L68)&lt;0.05," 关注"," 复查"))</f>
        <v/>
      </c>
    </row>
    <row r="69">
      <c r="A69" t="n">
        <v>68</v>
      </c>
      <c r="B69" t="inlineStr">
        <is>
          <t>凉霸专用开关</t>
        </is>
      </c>
      <c r="C69" t="inlineStr">
        <is>
          <t>甲供</t>
        </is>
      </c>
      <c r="D69" t="inlineStr">
        <is>
          <t>个</t>
        </is>
      </c>
      <c r="E69" t="inlineStr">
        <is>
          <t>B2</t>
        </is>
      </c>
      <c r="F69" t="n">
        <v>17</v>
      </c>
      <c r="G69" s="4" t="n">
        <v>1</v>
      </c>
      <c r="H69" s="5" t="n"/>
      <c r="I69" s="4" t="n">
        <v>17</v>
      </c>
      <c r="J69" s="6">
        <f>H69*F69</f>
        <v/>
      </c>
      <c r="K69" s="6">
        <f>J69-I69</f>
        <v/>
      </c>
      <c r="L69" s="7">
        <f>IF(I69=0,"",K69/I69)</f>
        <v/>
      </c>
      <c r="M69" s="6">
        <f>IF(ABS(L69)&lt;0.02," 合理",IF(ABS(L69)&lt;0.05," 关注"," 复查"))</f>
        <v/>
      </c>
    </row>
    <row r="70">
      <c r="A70" t="n">
        <v>69</v>
      </c>
      <c r="B70" t="inlineStr">
        <is>
          <t>凉霸专用开关</t>
        </is>
      </c>
      <c r="C70" t="inlineStr">
        <is>
          <t>甲供</t>
        </is>
      </c>
      <c r="D70" t="inlineStr">
        <is>
          <t>个</t>
        </is>
      </c>
      <c r="E70" t="inlineStr">
        <is>
          <t>C</t>
        </is>
      </c>
      <c r="F70" t="n">
        <v>17</v>
      </c>
      <c r="G70" s="4" t="n">
        <v>1</v>
      </c>
      <c r="H70" s="5" t="n"/>
      <c r="I70" s="4" t="n">
        <v>17</v>
      </c>
      <c r="J70" s="6">
        <f>H70*F70</f>
        <v/>
      </c>
      <c r="K70" s="6">
        <f>J70-I70</f>
        <v/>
      </c>
      <c r="L70" s="7">
        <f>IF(I70=0,"",K70/I70)</f>
        <v/>
      </c>
      <c r="M70" s="6">
        <f>IF(ABS(L70)&lt;0.02," 合理",IF(ABS(L70)&lt;0.05," 关注"," 复查"))</f>
        <v/>
      </c>
    </row>
    <row r="71">
      <c r="A71" t="n">
        <v>70</v>
      </c>
      <c r="B71" t="inlineStr">
        <is>
          <t>凉霸专用开关</t>
        </is>
      </c>
      <c r="C71" t="inlineStr">
        <is>
          <t>甲供</t>
        </is>
      </c>
      <c r="D71" t="inlineStr">
        <is>
          <t>个</t>
        </is>
      </c>
      <c r="E71" t="inlineStr">
        <is>
          <t>D1</t>
        </is>
      </c>
      <c r="F71" t="n">
        <v>34</v>
      </c>
      <c r="G71" s="4" t="n">
        <v>1</v>
      </c>
      <c r="H71" s="5" t="n"/>
      <c r="I71" s="4" t="n">
        <v>34</v>
      </c>
      <c r="J71" s="6">
        <f>H71*F71</f>
        <v/>
      </c>
      <c r="K71" s="6">
        <f>J71-I71</f>
        <v/>
      </c>
      <c r="L71" s="7">
        <f>IF(I71=0,"",K71/I71)</f>
        <v/>
      </c>
      <c r="M71" s="6">
        <f>IF(ABS(L71)&lt;0.02," 合理",IF(ABS(L71)&lt;0.05," 关注"," 复查"))</f>
        <v/>
      </c>
    </row>
    <row r="72">
      <c r="A72" t="n">
        <v>71</v>
      </c>
      <c r="B72" t="inlineStr">
        <is>
          <t>凉霸专用开关</t>
        </is>
      </c>
      <c r="C72" t="inlineStr">
        <is>
          <t>甲供</t>
        </is>
      </c>
      <c r="D72" t="inlineStr">
        <is>
          <t>个</t>
        </is>
      </c>
      <c r="E72" t="inlineStr">
        <is>
          <t>D2</t>
        </is>
      </c>
      <c r="F72" t="n">
        <v>15</v>
      </c>
      <c r="G72" s="4" t="n">
        <v>1</v>
      </c>
      <c r="H72" s="5" t="n"/>
      <c r="I72" s="4" t="n">
        <v>15</v>
      </c>
      <c r="J72" s="6">
        <f>H72*F72</f>
        <v/>
      </c>
      <c r="K72" s="6">
        <f>J72-I72</f>
        <v/>
      </c>
      <c r="L72" s="7">
        <f>IF(I72=0,"",K72/I72)</f>
        <v/>
      </c>
      <c r="M72" s="6">
        <f>IF(ABS(L72)&lt;0.02," 合理",IF(ABS(L72)&lt;0.05," 关注"," 复查"))</f>
        <v/>
      </c>
    </row>
    <row r="73">
      <c r="A73" t="n">
        <v>72</v>
      </c>
      <c r="B73" t="inlineStr">
        <is>
          <t>凉霸专用开关</t>
        </is>
      </c>
      <c r="C73" t="inlineStr">
        <is>
          <t>甲供</t>
        </is>
      </c>
      <c r="D73" t="inlineStr">
        <is>
          <t>个</t>
        </is>
      </c>
      <c r="E73" t="inlineStr">
        <is>
          <t>D3</t>
        </is>
      </c>
      <c r="F73" t="n">
        <v>2</v>
      </c>
      <c r="G73" s="4" t="n">
        <v>1</v>
      </c>
      <c r="H73" s="5" t="n"/>
      <c r="I73" s="4" t="n">
        <v>2</v>
      </c>
      <c r="J73" s="6">
        <f>H73*F73</f>
        <v/>
      </c>
      <c r="K73" s="6">
        <f>J73-I73</f>
        <v/>
      </c>
      <c r="L73" s="7">
        <f>IF(I73=0,"",K73/I73)</f>
        <v/>
      </c>
      <c r="M73" s="6">
        <f>IF(ABS(L73)&lt;0.02," 合理",IF(ABS(L73)&lt;0.05," 关注"," 复查"))</f>
        <v/>
      </c>
    </row>
    <row r="74">
      <c r="A74" t="n">
        <v>73</v>
      </c>
      <c r="B74" t="inlineStr">
        <is>
          <t>凉霸专用开关</t>
        </is>
      </c>
      <c r="C74" t="inlineStr">
        <is>
          <t>甲供</t>
        </is>
      </c>
      <c r="D74" t="inlineStr">
        <is>
          <t>个</t>
        </is>
      </c>
      <c r="E74" t="inlineStr">
        <is>
          <t>D4</t>
        </is>
      </c>
      <c r="F74" t="n">
        <v>2</v>
      </c>
      <c r="G74" s="4" t="n">
        <v>1</v>
      </c>
      <c r="H74" s="5" t="n"/>
      <c r="I74" s="4" t="n">
        <v>2</v>
      </c>
      <c r="J74" s="6">
        <f>H74*F74</f>
        <v/>
      </c>
      <c r="K74" s="6">
        <f>J74-I74</f>
        <v/>
      </c>
      <c r="L74" s="7">
        <f>IF(I74=0,"",K74/I74)</f>
        <v/>
      </c>
      <c r="M74" s="6">
        <f>IF(ABS(L74)&lt;0.02," 合理",IF(ABS(L74)&lt;0.05," 关注"," 复查"))</f>
        <v/>
      </c>
    </row>
    <row r="75">
      <c r="A75" t="n">
        <v>74</v>
      </c>
      <c r="B75" t="inlineStr">
        <is>
          <t>凉霸专用开关</t>
        </is>
      </c>
      <c r="C75" t="inlineStr">
        <is>
          <t>甲供</t>
        </is>
      </c>
      <c r="D75" t="inlineStr">
        <is>
          <t>个</t>
        </is>
      </c>
      <c r="E75" t="inlineStr">
        <is>
          <t>E</t>
        </is>
      </c>
      <c r="F75" t="n">
        <v>28</v>
      </c>
      <c r="G75" s="4" t="n">
        <v>1</v>
      </c>
      <c r="H75" s="5" t="n"/>
      <c r="I75" s="4" t="n">
        <v>28</v>
      </c>
      <c r="J75" s="6">
        <f>H75*F75</f>
        <v/>
      </c>
      <c r="K75" s="6">
        <f>J75-I75</f>
        <v/>
      </c>
      <c r="L75" s="7">
        <f>IF(I75=0,"",K75/I75)</f>
        <v/>
      </c>
      <c r="M75" s="6">
        <f>IF(ABS(L75)&lt;0.02," 合理",IF(ABS(L75)&lt;0.05," 关注"," 复查"))</f>
        <v/>
      </c>
    </row>
    <row r="76">
      <c r="A76" t="n">
        <v>75</v>
      </c>
      <c r="B76" t="inlineStr">
        <is>
          <t>浴霸专用开关</t>
        </is>
      </c>
      <c r="C76" t="inlineStr">
        <is>
          <t>甲供</t>
        </is>
      </c>
      <c r="D76" t="inlineStr">
        <is>
          <t>个</t>
        </is>
      </c>
      <c r="E76" t="inlineStr">
        <is>
          <t>A1</t>
        </is>
      </c>
      <c r="F76" t="n">
        <v>34</v>
      </c>
      <c r="G76" s="4" t="n">
        <v>2</v>
      </c>
      <c r="H76" s="5" t="n"/>
      <c r="I76" s="4" t="n">
        <v>68</v>
      </c>
      <c r="J76" s="6">
        <f>H76*F76</f>
        <v/>
      </c>
      <c r="K76" s="6">
        <f>J76-I76</f>
        <v/>
      </c>
      <c r="L76" s="7">
        <f>IF(I76=0,"",K76/I76)</f>
        <v/>
      </c>
      <c r="M76" s="6">
        <f>IF(ABS(L76)&lt;0.02," 合理",IF(ABS(L76)&lt;0.05," 关注"," 复查"))</f>
        <v/>
      </c>
    </row>
    <row r="77">
      <c r="A77" t="n">
        <v>76</v>
      </c>
      <c r="B77" t="inlineStr">
        <is>
          <t>浴霸专用开关</t>
        </is>
      </c>
      <c r="C77" t="inlineStr">
        <is>
          <t>甲供</t>
        </is>
      </c>
      <c r="D77" t="inlineStr">
        <is>
          <t>个</t>
        </is>
      </c>
      <c r="E77" t="inlineStr">
        <is>
          <t>B1</t>
        </is>
      </c>
      <c r="F77" t="n">
        <v>68</v>
      </c>
      <c r="G77" s="4" t="n">
        <v>3</v>
      </c>
      <c r="H77" s="5" t="n"/>
      <c r="I77" s="4" t="n">
        <v>204</v>
      </c>
      <c r="J77" s="6">
        <f>H77*F77</f>
        <v/>
      </c>
      <c r="K77" s="6">
        <f>J77-I77</f>
        <v/>
      </c>
      <c r="L77" s="7">
        <f>IF(I77=0,"",K77/I77)</f>
        <v/>
      </c>
      <c r="M77" s="6">
        <f>IF(ABS(L77)&lt;0.02," 合理",IF(ABS(L77)&lt;0.05," 关注"," 复查"))</f>
        <v/>
      </c>
    </row>
    <row r="78">
      <c r="A78" t="n">
        <v>77</v>
      </c>
      <c r="B78" t="inlineStr">
        <is>
          <t>浴霸专用开关</t>
        </is>
      </c>
      <c r="C78" t="inlineStr">
        <is>
          <t>甲供</t>
        </is>
      </c>
      <c r="D78" t="inlineStr">
        <is>
          <t>个</t>
        </is>
      </c>
      <c r="E78" t="inlineStr">
        <is>
          <t>B2</t>
        </is>
      </c>
      <c r="F78" t="n">
        <v>17</v>
      </c>
      <c r="G78" s="4" t="n">
        <v>3</v>
      </c>
      <c r="H78" s="5" t="n"/>
      <c r="I78" s="4" t="n">
        <v>51</v>
      </c>
      <c r="J78" s="6">
        <f>H78*F78</f>
        <v/>
      </c>
      <c r="K78" s="6">
        <f>J78-I78</f>
        <v/>
      </c>
      <c r="L78" s="7">
        <f>IF(I78=0,"",K78/I78)</f>
        <v/>
      </c>
      <c r="M78" s="6">
        <f>IF(ABS(L78)&lt;0.02," 合理",IF(ABS(L78)&lt;0.05," 关注"," 复查"))</f>
        <v/>
      </c>
    </row>
    <row r="79">
      <c r="A79" t="n">
        <v>78</v>
      </c>
      <c r="B79" t="inlineStr">
        <is>
          <t>浴霸专用开关</t>
        </is>
      </c>
      <c r="C79" t="inlineStr">
        <is>
          <t>甲供</t>
        </is>
      </c>
      <c r="D79" t="inlineStr">
        <is>
          <t>个</t>
        </is>
      </c>
      <c r="E79" t="inlineStr">
        <is>
          <t>C</t>
        </is>
      </c>
      <c r="F79" t="n">
        <v>17</v>
      </c>
      <c r="G79" s="4" t="n">
        <v>3</v>
      </c>
      <c r="H79" s="5" t="n"/>
      <c r="I79" s="4" t="n">
        <v>51</v>
      </c>
      <c r="J79" s="6">
        <f>H79*F79</f>
        <v/>
      </c>
      <c r="K79" s="6">
        <f>J79-I79</f>
        <v/>
      </c>
      <c r="L79" s="7">
        <f>IF(I79=0,"",K79/I79)</f>
        <v/>
      </c>
      <c r="M79" s="6">
        <f>IF(ABS(L79)&lt;0.02," 合理",IF(ABS(L79)&lt;0.05," 关注"," 复查"))</f>
        <v/>
      </c>
    </row>
    <row r="80">
      <c r="A80" t="n">
        <v>79</v>
      </c>
      <c r="B80" t="inlineStr">
        <is>
          <t>浴霸专用开关</t>
        </is>
      </c>
      <c r="C80" t="inlineStr">
        <is>
          <t>甲供</t>
        </is>
      </c>
      <c r="D80" t="inlineStr">
        <is>
          <t>个</t>
        </is>
      </c>
      <c r="E80" t="inlineStr">
        <is>
          <t>D1</t>
        </is>
      </c>
      <c r="F80" t="n">
        <v>34</v>
      </c>
      <c r="G80" s="4" t="n">
        <v>3</v>
      </c>
      <c r="H80" s="5" t="n"/>
      <c r="I80" s="4" t="n">
        <v>102</v>
      </c>
      <c r="J80" s="6">
        <f>H80*F80</f>
        <v/>
      </c>
      <c r="K80" s="6">
        <f>J80-I80</f>
        <v/>
      </c>
      <c r="L80" s="7">
        <f>IF(I80=0,"",K80/I80)</f>
        <v/>
      </c>
      <c r="M80" s="6">
        <f>IF(ABS(L80)&lt;0.02," 合理",IF(ABS(L80)&lt;0.05," 关注"," 复查"))</f>
        <v/>
      </c>
    </row>
    <row r="81">
      <c r="A81" t="n">
        <v>80</v>
      </c>
      <c r="B81" t="inlineStr">
        <is>
          <t>浴霸专用开关</t>
        </is>
      </c>
      <c r="C81" t="inlineStr">
        <is>
          <t>甲供</t>
        </is>
      </c>
      <c r="D81" t="inlineStr">
        <is>
          <t>个</t>
        </is>
      </c>
      <c r="E81" t="inlineStr">
        <is>
          <t>D2</t>
        </is>
      </c>
      <c r="F81" t="n">
        <v>15</v>
      </c>
      <c r="G81" s="4" t="n">
        <v>3</v>
      </c>
      <c r="H81" s="5" t="n"/>
      <c r="I81" s="4" t="n">
        <v>45</v>
      </c>
      <c r="J81" s="6">
        <f>H81*F81</f>
        <v/>
      </c>
      <c r="K81" s="6">
        <f>J81-I81</f>
        <v/>
      </c>
      <c r="L81" s="7">
        <f>IF(I81=0,"",K81/I81)</f>
        <v/>
      </c>
      <c r="M81" s="6">
        <f>IF(ABS(L81)&lt;0.02," 合理",IF(ABS(L81)&lt;0.05," 关注"," 复查"))</f>
        <v/>
      </c>
    </row>
    <row r="82">
      <c r="A82" t="n">
        <v>81</v>
      </c>
      <c r="B82" t="inlineStr">
        <is>
          <t>浴霸专用开关</t>
        </is>
      </c>
      <c r="C82" t="inlineStr">
        <is>
          <t>甲供</t>
        </is>
      </c>
      <c r="D82" t="inlineStr">
        <is>
          <t>个</t>
        </is>
      </c>
      <c r="E82" t="inlineStr">
        <is>
          <t>D3</t>
        </is>
      </c>
      <c r="F82" t="n">
        <v>2</v>
      </c>
      <c r="G82" s="4" t="n">
        <v>3</v>
      </c>
      <c r="H82" s="5" t="n"/>
      <c r="I82" s="4" t="n">
        <v>6</v>
      </c>
      <c r="J82" s="6">
        <f>H82*F82</f>
        <v/>
      </c>
      <c r="K82" s="6">
        <f>J82-I82</f>
        <v/>
      </c>
      <c r="L82" s="7">
        <f>IF(I82=0,"",K82/I82)</f>
        <v/>
      </c>
      <c r="M82" s="6">
        <f>IF(ABS(L82)&lt;0.02," 合理",IF(ABS(L82)&lt;0.05," 关注"," 复查"))</f>
        <v/>
      </c>
    </row>
    <row r="83">
      <c r="A83" t="n">
        <v>82</v>
      </c>
      <c r="B83" t="inlineStr">
        <is>
          <t>浴霸专用开关</t>
        </is>
      </c>
      <c r="C83" t="inlineStr">
        <is>
          <t>甲供</t>
        </is>
      </c>
      <c r="D83" t="inlineStr">
        <is>
          <t>个</t>
        </is>
      </c>
      <c r="E83" t="inlineStr">
        <is>
          <t>D4</t>
        </is>
      </c>
      <c r="F83" t="n">
        <v>2</v>
      </c>
      <c r="G83" s="4" t="n">
        <v>3</v>
      </c>
      <c r="H83" s="5" t="n"/>
      <c r="I83" s="4" t="n">
        <v>6</v>
      </c>
      <c r="J83" s="6">
        <f>H83*F83</f>
        <v/>
      </c>
      <c r="K83" s="6">
        <f>J83-I83</f>
        <v/>
      </c>
      <c r="L83" s="7">
        <f>IF(I83=0,"",K83/I83)</f>
        <v/>
      </c>
      <c r="M83" s="6">
        <f>IF(ABS(L83)&lt;0.02," 合理",IF(ABS(L83)&lt;0.05," 关注"," 复查"))</f>
        <v/>
      </c>
    </row>
    <row r="84">
      <c r="A84" t="n">
        <v>83</v>
      </c>
      <c r="B84" t="inlineStr">
        <is>
          <t>浴霸专用开关</t>
        </is>
      </c>
      <c r="C84" t="inlineStr">
        <is>
          <t>甲供</t>
        </is>
      </c>
      <c r="D84" t="inlineStr">
        <is>
          <t>个</t>
        </is>
      </c>
      <c r="E84" t="inlineStr">
        <is>
          <t>E</t>
        </is>
      </c>
      <c r="F84" t="n">
        <v>28</v>
      </c>
      <c r="G84" s="4" t="n">
        <v>3</v>
      </c>
      <c r="H84" s="5" t="n"/>
      <c r="I84" s="4" t="n">
        <v>84</v>
      </c>
      <c r="J84" s="6">
        <f>H84*F84</f>
        <v/>
      </c>
      <c r="K84" s="6">
        <f>J84-I84</f>
        <v/>
      </c>
      <c r="L84" s="7">
        <f>IF(I84=0,"",K84/I84)</f>
        <v/>
      </c>
      <c r="M84" s="6">
        <f>IF(ABS(L84)&lt;0.02," 合理",IF(ABS(L84)&lt;0.05," 关注"," 复查"))</f>
        <v/>
      </c>
    </row>
    <row r="85">
      <c r="A85" t="n">
        <v>84</v>
      </c>
      <c r="B85" t="inlineStr">
        <is>
          <t>单开单控开关</t>
        </is>
      </c>
      <c r="C85" t="inlineStr">
        <is>
          <t>甲供</t>
        </is>
      </c>
      <c r="D85" t="inlineStr">
        <is>
          <t>个</t>
        </is>
      </c>
      <c r="E85" t="inlineStr">
        <is>
          <t>A1</t>
        </is>
      </c>
      <c r="F85" t="n">
        <v>34</v>
      </c>
      <c r="G85" s="4" t="n">
        <v>5</v>
      </c>
      <c r="H85" s="5" t="n"/>
      <c r="I85" s="4" t="n">
        <v>170</v>
      </c>
      <c r="J85" s="6">
        <f>H85*F85</f>
        <v/>
      </c>
      <c r="K85" s="6">
        <f>J85-I85</f>
        <v/>
      </c>
      <c r="L85" s="7">
        <f>IF(I85=0,"",K85/I85)</f>
        <v/>
      </c>
      <c r="M85" s="6">
        <f>IF(ABS(L85)&lt;0.02," 合理",IF(ABS(L85)&lt;0.05," 关注"," 复查"))</f>
        <v/>
      </c>
    </row>
    <row r="86">
      <c r="A86" t="n">
        <v>85</v>
      </c>
      <c r="B86" t="inlineStr">
        <is>
          <t>单开单控开关</t>
        </is>
      </c>
      <c r="C86" t="inlineStr">
        <is>
          <t>甲供</t>
        </is>
      </c>
      <c r="D86" t="inlineStr">
        <is>
          <t>个</t>
        </is>
      </c>
      <c r="E86" t="inlineStr">
        <is>
          <t>B1</t>
        </is>
      </c>
      <c r="F86" t="n">
        <v>68</v>
      </c>
      <c r="G86" s="4" t="n">
        <v>12</v>
      </c>
      <c r="H86" s="5" t="n"/>
      <c r="I86" s="4" t="n">
        <v>816</v>
      </c>
      <c r="J86" s="6">
        <f>H86*F86</f>
        <v/>
      </c>
      <c r="K86" s="6">
        <f>J86-I86</f>
        <v/>
      </c>
      <c r="L86" s="7">
        <f>IF(I86=0,"",K86/I86)</f>
        <v/>
      </c>
      <c r="M86" s="6">
        <f>IF(ABS(L86)&lt;0.02," 合理",IF(ABS(L86)&lt;0.05," 关注"," 复查"))</f>
        <v/>
      </c>
    </row>
    <row r="87">
      <c r="A87" t="n">
        <v>86</v>
      </c>
      <c r="B87" t="inlineStr">
        <is>
          <t>单开单控开关</t>
        </is>
      </c>
      <c r="C87" t="inlineStr">
        <is>
          <t>甲供</t>
        </is>
      </c>
      <c r="D87" t="inlineStr">
        <is>
          <t>个</t>
        </is>
      </c>
      <c r="E87" t="inlineStr">
        <is>
          <t>B2</t>
        </is>
      </c>
      <c r="F87" t="n">
        <v>17</v>
      </c>
      <c r="G87" s="4" t="n">
        <v>12</v>
      </c>
      <c r="H87" s="5" t="n"/>
      <c r="I87" s="4" t="n">
        <v>204</v>
      </c>
      <c r="J87" s="6">
        <f>H87*F87</f>
        <v/>
      </c>
      <c r="K87" s="6">
        <f>J87-I87</f>
        <v/>
      </c>
      <c r="L87" s="7">
        <f>IF(I87=0,"",K87/I87)</f>
        <v/>
      </c>
      <c r="M87" s="6">
        <f>IF(ABS(L87)&lt;0.02," 合理",IF(ABS(L87)&lt;0.05," 关注"," 复查"))</f>
        <v/>
      </c>
    </row>
    <row r="88">
      <c r="A88" t="n">
        <v>87</v>
      </c>
      <c r="B88" t="inlineStr">
        <is>
          <t>单开单控开关</t>
        </is>
      </c>
      <c r="C88" t="inlineStr">
        <is>
          <t>甲供</t>
        </is>
      </c>
      <c r="D88" t="inlineStr">
        <is>
          <t>个</t>
        </is>
      </c>
      <c r="E88" t="inlineStr">
        <is>
          <t>C</t>
        </is>
      </c>
      <c r="F88" t="n">
        <v>17</v>
      </c>
      <c r="G88" s="4" t="n">
        <v>3</v>
      </c>
      <c r="H88" s="5" t="n"/>
      <c r="I88" s="4" t="n">
        <v>51</v>
      </c>
      <c r="J88" s="6">
        <f>H88*F88</f>
        <v/>
      </c>
      <c r="K88" s="6">
        <f>J88-I88</f>
        <v/>
      </c>
      <c r="L88" s="7">
        <f>IF(I88=0,"",K88/I88)</f>
        <v/>
      </c>
      <c r="M88" s="6">
        <f>IF(ABS(L88)&lt;0.02," 合理",IF(ABS(L88)&lt;0.05," 关注"," 复查"))</f>
        <v/>
      </c>
    </row>
    <row r="89">
      <c r="A89" t="n">
        <v>88</v>
      </c>
      <c r="B89" t="inlineStr">
        <is>
          <t>单开单控开关</t>
        </is>
      </c>
      <c r="C89" t="inlineStr">
        <is>
          <t>甲供</t>
        </is>
      </c>
      <c r="D89" t="inlineStr">
        <is>
          <t>个</t>
        </is>
      </c>
      <c r="E89" t="inlineStr">
        <is>
          <t>D1</t>
        </is>
      </c>
      <c r="F89" t="n">
        <v>34</v>
      </c>
      <c r="G89" s="4" t="n">
        <v>2</v>
      </c>
      <c r="H89" s="5" t="n"/>
      <c r="I89" s="4" t="n">
        <v>68</v>
      </c>
      <c r="J89" s="6">
        <f>H89*F89</f>
        <v/>
      </c>
      <c r="K89" s="6">
        <f>J89-I89</f>
        <v/>
      </c>
      <c r="L89" s="7">
        <f>IF(I89=0,"",K89/I89)</f>
        <v/>
      </c>
      <c r="M89" s="6">
        <f>IF(ABS(L89)&lt;0.02," 合理",IF(ABS(L89)&lt;0.05," 关注"," 复查"))</f>
        <v/>
      </c>
    </row>
    <row r="90">
      <c r="A90" t="n">
        <v>89</v>
      </c>
      <c r="B90" t="inlineStr">
        <is>
          <t>单开单控开关</t>
        </is>
      </c>
      <c r="C90" t="inlineStr">
        <is>
          <t>甲供</t>
        </is>
      </c>
      <c r="D90" t="inlineStr">
        <is>
          <t>个</t>
        </is>
      </c>
      <c r="E90" t="inlineStr">
        <is>
          <t>D2</t>
        </is>
      </c>
      <c r="F90" t="n">
        <v>15</v>
      </c>
      <c r="G90" s="4" t="n">
        <v>2</v>
      </c>
      <c r="H90" s="5" t="n"/>
      <c r="I90" s="4" t="n">
        <v>30</v>
      </c>
      <c r="J90" s="6">
        <f>H90*F90</f>
        <v/>
      </c>
      <c r="K90" s="6">
        <f>J90-I90</f>
        <v/>
      </c>
      <c r="L90" s="7">
        <f>IF(I90=0,"",K90/I90)</f>
        <v/>
      </c>
      <c r="M90" s="6">
        <f>IF(ABS(L90)&lt;0.02," 合理",IF(ABS(L90)&lt;0.05," 关注"," 复查"))</f>
        <v/>
      </c>
    </row>
    <row r="91">
      <c r="A91" t="n">
        <v>90</v>
      </c>
      <c r="B91" t="inlineStr">
        <is>
          <t>单开单控开关</t>
        </is>
      </c>
      <c r="C91" t="inlineStr">
        <is>
          <t>甲供</t>
        </is>
      </c>
      <c r="D91" t="inlineStr">
        <is>
          <t>个</t>
        </is>
      </c>
      <c r="E91" t="inlineStr">
        <is>
          <t>D3</t>
        </is>
      </c>
      <c r="F91" t="n">
        <v>2</v>
      </c>
      <c r="G91" s="4" t="n">
        <v>2</v>
      </c>
      <c r="H91" s="5" t="n"/>
      <c r="I91" s="4" t="n">
        <v>4</v>
      </c>
      <c r="J91" s="6">
        <f>H91*F91</f>
        <v/>
      </c>
      <c r="K91" s="6">
        <f>J91-I91</f>
        <v/>
      </c>
      <c r="L91" s="7">
        <f>IF(I91=0,"",K91/I91)</f>
        <v/>
      </c>
      <c r="M91" s="6">
        <f>IF(ABS(L91)&lt;0.02," 合理",IF(ABS(L91)&lt;0.05," 关注"," 复查"))</f>
        <v/>
      </c>
    </row>
    <row r="92">
      <c r="A92" t="n">
        <v>91</v>
      </c>
      <c r="B92" t="inlineStr">
        <is>
          <t>单开单控开关</t>
        </is>
      </c>
      <c r="C92" t="inlineStr">
        <is>
          <t>甲供</t>
        </is>
      </c>
      <c r="D92" t="inlineStr">
        <is>
          <t>个</t>
        </is>
      </c>
      <c r="E92" t="inlineStr">
        <is>
          <t>D4</t>
        </is>
      </c>
      <c r="F92" t="n">
        <v>2</v>
      </c>
      <c r="G92" s="4" t="n">
        <v>2</v>
      </c>
      <c r="H92" s="5" t="n"/>
      <c r="I92" s="4" t="n">
        <v>4</v>
      </c>
      <c r="J92" s="6">
        <f>H92*F92</f>
        <v/>
      </c>
      <c r="K92" s="6">
        <f>J92-I92</f>
        <v/>
      </c>
      <c r="L92" s="7">
        <f>IF(I92=0,"",K92/I92)</f>
        <v/>
      </c>
      <c r="M92" s="6">
        <f>IF(ABS(L92)&lt;0.02," 合理",IF(ABS(L92)&lt;0.05," 关注"," 复查"))</f>
        <v/>
      </c>
    </row>
    <row r="93">
      <c r="A93" t="n">
        <v>92</v>
      </c>
      <c r="B93" t="inlineStr">
        <is>
          <t>单开单控开关</t>
        </is>
      </c>
      <c r="C93" t="inlineStr">
        <is>
          <t>甲供</t>
        </is>
      </c>
      <c r="D93" t="inlineStr">
        <is>
          <t>个</t>
        </is>
      </c>
      <c r="E93" t="inlineStr">
        <is>
          <t>E</t>
        </is>
      </c>
      <c r="F93" t="n">
        <v>28</v>
      </c>
      <c r="G93" s="4" t="n">
        <v>12</v>
      </c>
      <c r="H93" s="5" t="n"/>
      <c r="I93" s="4" t="n">
        <v>336</v>
      </c>
      <c r="J93" s="6">
        <f>H93*F93</f>
        <v/>
      </c>
      <c r="K93" s="6">
        <f>J93-I93</f>
        <v/>
      </c>
      <c r="L93" s="7">
        <f>IF(I93=0,"",K93/I93)</f>
        <v/>
      </c>
      <c r="M93" s="6">
        <f>IF(ABS(L93)&lt;0.02," 合理",IF(ABS(L93)&lt;0.05," 关注"," 复查"))</f>
        <v/>
      </c>
    </row>
    <row r="94">
      <c r="A94" t="n">
        <v>93</v>
      </c>
      <c r="B94" t="inlineStr">
        <is>
          <t>单开双控开关</t>
        </is>
      </c>
      <c r="C94" t="inlineStr">
        <is>
          <t>甲供</t>
        </is>
      </c>
      <c r="D94" t="inlineStr">
        <is>
          <t>个</t>
        </is>
      </c>
      <c r="E94" t="inlineStr">
        <is>
          <t>A1</t>
        </is>
      </c>
      <c r="F94" t="n">
        <v>34</v>
      </c>
      <c r="G94" s="4" t="n">
        <v>3</v>
      </c>
      <c r="H94" s="5" t="n"/>
      <c r="I94" s="4" t="n">
        <v>102</v>
      </c>
      <c r="J94" s="6">
        <f>H94*F94</f>
        <v/>
      </c>
      <c r="K94" s="6">
        <f>J94-I94</f>
        <v/>
      </c>
      <c r="L94" s="7">
        <f>IF(I94=0,"",K94/I94)</f>
        <v/>
      </c>
      <c r="M94" s="6">
        <f>IF(ABS(L94)&lt;0.02," 合理",IF(ABS(L94)&lt;0.05," 关注"," 复查"))</f>
        <v/>
      </c>
    </row>
    <row r="95">
      <c r="A95" t="n">
        <v>94</v>
      </c>
      <c r="B95" t="inlineStr">
        <is>
          <t>单开双控开关</t>
        </is>
      </c>
      <c r="C95" t="inlineStr">
        <is>
          <t>甲供</t>
        </is>
      </c>
      <c r="D95" t="inlineStr">
        <is>
          <t>个</t>
        </is>
      </c>
      <c r="E95" t="inlineStr">
        <is>
          <t>B1</t>
        </is>
      </c>
      <c r="F95" t="n">
        <v>68</v>
      </c>
      <c r="G95" s="4" t="n">
        <v>9</v>
      </c>
      <c r="H95" s="5" t="n"/>
      <c r="I95" s="4" t="n">
        <v>612</v>
      </c>
      <c r="J95" s="6">
        <f>H95*F95</f>
        <v/>
      </c>
      <c r="K95" s="6">
        <f>J95-I95</f>
        <v/>
      </c>
      <c r="L95" s="7">
        <f>IF(I95=0,"",K95/I95)</f>
        <v/>
      </c>
      <c r="M95" s="6">
        <f>IF(ABS(L95)&lt;0.02," 合理",IF(ABS(L95)&lt;0.05," 关注"," 复查"))</f>
        <v/>
      </c>
    </row>
    <row r="96">
      <c r="A96" t="n">
        <v>95</v>
      </c>
      <c r="B96" t="inlineStr">
        <is>
          <t>单开双控开关</t>
        </is>
      </c>
      <c r="C96" t="inlineStr">
        <is>
          <t>甲供</t>
        </is>
      </c>
      <c r="D96" t="inlineStr">
        <is>
          <t>个</t>
        </is>
      </c>
      <c r="E96" t="inlineStr">
        <is>
          <t>B2</t>
        </is>
      </c>
      <c r="F96" t="n">
        <v>17</v>
      </c>
      <c r="G96" s="4" t="n">
        <v>9</v>
      </c>
      <c r="H96" s="5" t="n"/>
      <c r="I96" s="4" t="n">
        <v>153</v>
      </c>
      <c r="J96" s="6">
        <f>H96*F96</f>
        <v/>
      </c>
      <c r="K96" s="6">
        <f>J96-I96</f>
        <v/>
      </c>
      <c r="L96" s="7">
        <f>IF(I96=0,"",K96/I96)</f>
        <v/>
      </c>
      <c r="M96" s="6">
        <f>IF(ABS(L96)&lt;0.02," 合理",IF(ABS(L96)&lt;0.05," 关注"," 复查"))</f>
        <v/>
      </c>
    </row>
    <row r="97">
      <c r="A97" t="n">
        <v>96</v>
      </c>
      <c r="B97" t="inlineStr">
        <is>
          <t>单开双控开关</t>
        </is>
      </c>
      <c r="C97" t="inlineStr">
        <is>
          <t>甲供</t>
        </is>
      </c>
      <c r="D97" t="inlineStr">
        <is>
          <t>个</t>
        </is>
      </c>
      <c r="E97" t="inlineStr">
        <is>
          <t>C</t>
        </is>
      </c>
      <c r="F97" t="n">
        <v>17</v>
      </c>
      <c r="G97" s="4" t="n">
        <v>3</v>
      </c>
      <c r="H97" s="5" t="n"/>
      <c r="I97" s="4" t="n">
        <v>51</v>
      </c>
      <c r="J97" s="6">
        <f>H97*F97</f>
        <v/>
      </c>
      <c r="K97" s="6">
        <f>J97-I97</f>
        <v/>
      </c>
      <c r="L97" s="7">
        <f>IF(I97=0,"",K97/I97)</f>
        <v/>
      </c>
      <c r="M97" s="6">
        <f>IF(ABS(L97)&lt;0.02," 合理",IF(ABS(L97)&lt;0.05," 关注"," 复查"))</f>
        <v/>
      </c>
    </row>
    <row r="98">
      <c r="A98" t="n">
        <v>97</v>
      </c>
      <c r="B98" t="inlineStr">
        <is>
          <t>单开双控开关</t>
        </is>
      </c>
      <c r="C98" t="inlineStr">
        <is>
          <t>甲供</t>
        </is>
      </c>
      <c r="D98" t="inlineStr">
        <is>
          <t>个</t>
        </is>
      </c>
      <c r="E98" t="inlineStr">
        <is>
          <t>D1</t>
        </is>
      </c>
      <c r="F98" t="n">
        <v>34</v>
      </c>
      <c r="G98" s="4" t="n">
        <v>3</v>
      </c>
      <c r="H98" s="5" t="n"/>
      <c r="I98" s="4" t="n">
        <v>102</v>
      </c>
      <c r="J98" s="6">
        <f>H98*F98</f>
        <v/>
      </c>
      <c r="K98" s="6">
        <f>J98-I98</f>
        <v/>
      </c>
      <c r="L98" s="7">
        <f>IF(I98=0,"",K98/I98)</f>
        <v/>
      </c>
      <c r="M98" s="6">
        <f>IF(ABS(L98)&lt;0.02," 合理",IF(ABS(L98)&lt;0.05," 关注"," 复查"))</f>
        <v/>
      </c>
    </row>
    <row r="99">
      <c r="A99" t="n">
        <v>98</v>
      </c>
      <c r="B99" t="inlineStr">
        <is>
          <t>单开双控开关</t>
        </is>
      </c>
      <c r="C99" t="inlineStr">
        <is>
          <t>甲供</t>
        </is>
      </c>
      <c r="D99" t="inlineStr">
        <is>
          <t>个</t>
        </is>
      </c>
      <c r="E99" t="inlineStr">
        <is>
          <t>D2</t>
        </is>
      </c>
      <c r="F99" t="n">
        <v>15</v>
      </c>
      <c r="G99" s="4" t="n">
        <v>3</v>
      </c>
      <c r="H99" s="5" t="n"/>
      <c r="I99" s="4" t="n">
        <v>45</v>
      </c>
      <c r="J99" s="6">
        <f>H99*F99</f>
        <v/>
      </c>
      <c r="K99" s="6">
        <f>J99-I99</f>
        <v/>
      </c>
      <c r="L99" s="7">
        <f>IF(I99=0,"",K99/I99)</f>
        <v/>
      </c>
      <c r="M99" s="6">
        <f>IF(ABS(L99)&lt;0.02," 合理",IF(ABS(L99)&lt;0.05," 关注"," 复查"))</f>
        <v/>
      </c>
    </row>
    <row r="100">
      <c r="A100" t="n">
        <v>99</v>
      </c>
      <c r="B100" t="inlineStr">
        <is>
          <t>单开双控开关</t>
        </is>
      </c>
      <c r="C100" t="inlineStr">
        <is>
          <t>甲供</t>
        </is>
      </c>
      <c r="D100" t="inlineStr">
        <is>
          <t>个</t>
        </is>
      </c>
      <c r="E100" t="inlineStr">
        <is>
          <t>D3</t>
        </is>
      </c>
      <c r="F100" t="n">
        <v>2</v>
      </c>
      <c r="G100" s="4" t="n">
        <v>3</v>
      </c>
      <c r="H100" s="5" t="n"/>
      <c r="I100" s="4" t="n">
        <v>6</v>
      </c>
      <c r="J100" s="6">
        <f>H100*F100</f>
        <v/>
      </c>
      <c r="K100" s="6">
        <f>J100-I100</f>
        <v/>
      </c>
      <c r="L100" s="7">
        <f>IF(I100=0,"",K100/I100)</f>
        <v/>
      </c>
      <c r="M100" s="6">
        <f>IF(ABS(L100)&lt;0.02," 合理",IF(ABS(L100)&lt;0.05," 关注"," 复查"))</f>
        <v/>
      </c>
    </row>
    <row r="101">
      <c r="A101" t="n">
        <v>100</v>
      </c>
      <c r="B101" t="inlineStr">
        <is>
          <t>单开双控开关</t>
        </is>
      </c>
      <c r="C101" t="inlineStr">
        <is>
          <t>甲供</t>
        </is>
      </c>
      <c r="D101" t="inlineStr">
        <is>
          <t>个</t>
        </is>
      </c>
      <c r="E101" t="inlineStr">
        <is>
          <t>D4</t>
        </is>
      </c>
      <c r="F101" t="n">
        <v>2</v>
      </c>
      <c r="G101" s="4" t="n">
        <v>3</v>
      </c>
      <c r="H101" s="5" t="n"/>
      <c r="I101" s="4" t="n">
        <v>6</v>
      </c>
      <c r="J101" s="6">
        <f>H101*F101</f>
        <v/>
      </c>
      <c r="K101" s="6">
        <f>J101-I101</f>
        <v/>
      </c>
      <c r="L101" s="7">
        <f>IF(I101=0,"",K101/I101)</f>
        <v/>
      </c>
      <c r="M101" s="6">
        <f>IF(ABS(L101)&lt;0.02," 合理",IF(ABS(L101)&lt;0.05," 关注"," 复查"))</f>
        <v/>
      </c>
    </row>
    <row r="102">
      <c r="A102" t="n">
        <v>101</v>
      </c>
      <c r="B102" t="inlineStr">
        <is>
          <t>单开双控开关</t>
        </is>
      </c>
      <c r="C102" t="inlineStr">
        <is>
          <t>甲供</t>
        </is>
      </c>
      <c r="D102" t="inlineStr">
        <is>
          <t>个</t>
        </is>
      </c>
      <c r="E102" t="inlineStr">
        <is>
          <t>E</t>
        </is>
      </c>
      <c r="F102" t="n">
        <v>28</v>
      </c>
      <c r="G102" s="4" t="n">
        <v>3</v>
      </c>
      <c r="H102" s="5" t="n"/>
      <c r="I102" s="4" t="n">
        <v>84</v>
      </c>
      <c r="J102" s="6">
        <f>H102*F102</f>
        <v/>
      </c>
      <c r="K102" s="6">
        <f>J102-I102</f>
        <v/>
      </c>
      <c r="L102" s="7">
        <f>IF(I102=0,"",K102/I102)</f>
        <v/>
      </c>
      <c r="M102" s="6">
        <f>IF(ABS(L102)&lt;0.02," 合理",IF(ABS(L102)&lt;0.05," 关注"," 复查"))</f>
        <v/>
      </c>
    </row>
    <row r="103">
      <c r="A103" t="n">
        <v>102</v>
      </c>
      <c r="B103" t="inlineStr">
        <is>
          <t>双开单控开关</t>
        </is>
      </c>
      <c r="C103" t="inlineStr">
        <is>
          <t>甲供</t>
        </is>
      </c>
      <c r="D103" t="inlineStr">
        <is>
          <t>个</t>
        </is>
      </c>
      <c r="E103" t="inlineStr">
        <is>
          <t>A1</t>
        </is>
      </c>
      <c r="F103" t="n">
        <v>34</v>
      </c>
      <c r="G103" s="4" t="n">
        <v>1</v>
      </c>
      <c r="H103" s="5" t="n"/>
      <c r="I103" s="4" t="n">
        <v>34</v>
      </c>
      <c r="J103" s="6">
        <f>H103*F103</f>
        <v/>
      </c>
      <c r="K103" s="6">
        <f>J103-I103</f>
        <v/>
      </c>
      <c r="L103" s="7">
        <f>IF(I103=0,"",K103/I103)</f>
        <v/>
      </c>
      <c r="M103" s="6">
        <f>IF(ABS(L103)&lt;0.02," 合理",IF(ABS(L103)&lt;0.05," 关注"," 复查"))</f>
        <v/>
      </c>
    </row>
    <row r="104">
      <c r="A104" t="n">
        <v>103</v>
      </c>
      <c r="B104" t="inlineStr">
        <is>
          <t>双开单控开关</t>
        </is>
      </c>
      <c r="C104" t="inlineStr">
        <is>
          <t>甲供</t>
        </is>
      </c>
      <c r="D104" t="inlineStr">
        <is>
          <t>个</t>
        </is>
      </c>
      <c r="E104" t="inlineStr">
        <is>
          <t>C</t>
        </is>
      </c>
      <c r="F104" t="n">
        <v>17</v>
      </c>
      <c r="G104" s="4" t="n">
        <v>1</v>
      </c>
      <c r="H104" s="5" t="n"/>
      <c r="I104" s="4" t="n">
        <v>17</v>
      </c>
      <c r="J104" s="6">
        <f>H104*F104</f>
        <v/>
      </c>
      <c r="K104" s="6">
        <f>J104-I104</f>
        <v/>
      </c>
      <c r="L104" s="7">
        <f>IF(I104=0,"",K104/I104)</f>
        <v/>
      </c>
      <c r="M104" s="6">
        <f>IF(ABS(L104)&lt;0.02," 合理",IF(ABS(L104)&lt;0.05," 关注"," 复查"))</f>
        <v/>
      </c>
    </row>
    <row r="105">
      <c r="A105" t="n">
        <v>104</v>
      </c>
      <c r="B105" t="inlineStr">
        <is>
          <t>双开单控开关</t>
        </is>
      </c>
      <c r="C105" t="inlineStr">
        <is>
          <t>甲供</t>
        </is>
      </c>
      <c r="D105" t="inlineStr">
        <is>
          <t>个</t>
        </is>
      </c>
      <c r="E105" t="inlineStr">
        <is>
          <t>D1</t>
        </is>
      </c>
      <c r="F105" t="n">
        <v>34</v>
      </c>
      <c r="G105" s="4" t="n">
        <v>1</v>
      </c>
      <c r="H105" s="5" t="n"/>
      <c r="I105" s="4" t="n">
        <v>34</v>
      </c>
      <c r="J105" s="6">
        <f>H105*F105</f>
        <v/>
      </c>
      <c r="K105" s="6">
        <f>J105-I105</f>
        <v/>
      </c>
      <c r="L105" s="7">
        <f>IF(I105=0,"",K105/I105)</f>
        <v/>
      </c>
      <c r="M105" s="6">
        <f>IF(ABS(L105)&lt;0.02," 合理",IF(ABS(L105)&lt;0.05," 关注"," 复查"))</f>
        <v/>
      </c>
    </row>
    <row r="106">
      <c r="A106" t="n">
        <v>105</v>
      </c>
      <c r="B106" t="inlineStr">
        <is>
          <t>双开单控开关</t>
        </is>
      </c>
      <c r="C106" t="inlineStr">
        <is>
          <t>甲供</t>
        </is>
      </c>
      <c r="D106" t="inlineStr">
        <is>
          <t>个</t>
        </is>
      </c>
      <c r="E106" t="inlineStr">
        <is>
          <t>D2</t>
        </is>
      </c>
      <c r="F106" t="n">
        <v>15</v>
      </c>
      <c r="G106" s="4" t="n">
        <v>1</v>
      </c>
      <c r="H106" s="5" t="n"/>
      <c r="I106" s="4" t="n">
        <v>15</v>
      </c>
      <c r="J106" s="6">
        <f>H106*F106</f>
        <v/>
      </c>
      <c r="K106" s="6">
        <f>J106-I106</f>
        <v/>
      </c>
      <c r="L106" s="7">
        <f>IF(I106=0,"",K106/I106)</f>
        <v/>
      </c>
      <c r="M106" s="6">
        <f>IF(ABS(L106)&lt;0.02," 合理",IF(ABS(L106)&lt;0.05," 关注"," 复查"))</f>
        <v/>
      </c>
    </row>
    <row r="107">
      <c r="A107" t="n">
        <v>106</v>
      </c>
      <c r="B107" t="inlineStr">
        <is>
          <t>双开单控开关</t>
        </is>
      </c>
      <c r="C107" t="inlineStr">
        <is>
          <t>甲供</t>
        </is>
      </c>
      <c r="D107" t="inlineStr">
        <is>
          <t>个</t>
        </is>
      </c>
      <c r="E107" t="inlineStr">
        <is>
          <t>D3</t>
        </is>
      </c>
      <c r="F107" t="n">
        <v>2</v>
      </c>
      <c r="G107" s="4" t="n">
        <v>1</v>
      </c>
      <c r="H107" s="5" t="n"/>
      <c r="I107" s="4" t="n">
        <v>2</v>
      </c>
      <c r="J107" s="6">
        <f>H107*F107</f>
        <v/>
      </c>
      <c r="K107" s="6">
        <f>J107-I107</f>
        <v/>
      </c>
      <c r="L107" s="7">
        <f>IF(I107=0,"",K107/I107)</f>
        <v/>
      </c>
      <c r="M107" s="6">
        <f>IF(ABS(L107)&lt;0.02," 合理",IF(ABS(L107)&lt;0.05," 关注"," 复查"))</f>
        <v/>
      </c>
    </row>
    <row r="108">
      <c r="A108" t="n">
        <v>107</v>
      </c>
      <c r="B108" t="inlineStr">
        <is>
          <t>双开单控开关</t>
        </is>
      </c>
      <c r="C108" t="inlineStr">
        <is>
          <t>甲供</t>
        </is>
      </c>
      <c r="D108" t="inlineStr">
        <is>
          <t>个</t>
        </is>
      </c>
      <c r="E108" t="inlineStr">
        <is>
          <t>D4</t>
        </is>
      </c>
      <c r="F108" t="n">
        <v>2</v>
      </c>
      <c r="G108" s="4" t="n">
        <v>1</v>
      </c>
      <c r="H108" s="5" t="n"/>
      <c r="I108" s="4" t="n">
        <v>2</v>
      </c>
      <c r="J108" s="6">
        <f>H108*F108</f>
        <v/>
      </c>
      <c r="K108" s="6">
        <f>J108-I108</f>
        <v/>
      </c>
      <c r="L108" s="7">
        <f>IF(I108=0,"",K108/I108)</f>
        <v/>
      </c>
      <c r="M108" s="6">
        <f>IF(ABS(L108)&lt;0.02," 合理",IF(ABS(L108)&lt;0.05," 关注"," 复查"))</f>
        <v/>
      </c>
    </row>
    <row r="109">
      <c r="A109" t="n">
        <v>108</v>
      </c>
      <c r="B109" t="inlineStr">
        <is>
          <t>双开单控开关</t>
        </is>
      </c>
      <c r="C109" t="inlineStr">
        <is>
          <t>甲供</t>
        </is>
      </c>
      <c r="D109" t="inlineStr">
        <is>
          <t>个</t>
        </is>
      </c>
      <c r="E109" t="inlineStr">
        <is>
          <t>E</t>
        </is>
      </c>
      <c r="F109" t="n">
        <v>28</v>
      </c>
      <c r="G109" s="4" t="n">
        <v>1</v>
      </c>
      <c r="H109" s="5" t="n"/>
      <c r="I109" s="4" t="n">
        <v>28</v>
      </c>
      <c r="J109" s="6">
        <f>H109*F109</f>
        <v/>
      </c>
      <c r="K109" s="6">
        <f>J109-I109</f>
        <v/>
      </c>
      <c r="L109" s="7">
        <f>IF(I109=0,"",K109/I109)</f>
        <v/>
      </c>
      <c r="M109" s="6">
        <f>IF(ABS(L109)&lt;0.02," 合理",IF(ABS(L109)&lt;0.05," 关注"," 复查"))</f>
        <v/>
      </c>
    </row>
    <row r="110">
      <c r="A110" t="n">
        <v>109</v>
      </c>
      <c r="B110" t="inlineStr">
        <is>
          <t>双开双控开关</t>
        </is>
      </c>
      <c r="C110" t="inlineStr">
        <is>
          <t>甲供</t>
        </is>
      </c>
      <c r="D110" t="inlineStr">
        <is>
          <t>个</t>
        </is>
      </c>
      <c r="E110" t="inlineStr">
        <is>
          <t>A1</t>
        </is>
      </c>
      <c r="F110" t="n">
        <v>34</v>
      </c>
      <c r="G110" s="4" t="n">
        <v>4</v>
      </c>
      <c r="H110" s="5" t="n"/>
      <c r="I110" s="4" t="n">
        <v>136</v>
      </c>
      <c r="J110" s="6">
        <f>H110*F110</f>
        <v/>
      </c>
      <c r="K110" s="6">
        <f>J110-I110</f>
        <v/>
      </c>
      <c r="L110" s="7">
        <f>IF(I110=0,"",K110/I110)</f>
        <v/>
      </c>
      <c r="M110" s="6">
        <f>IF(ABS(L110)&lt;0.02," 合理",IF(ABS(L110)&lt;0.05," 关注"," 复查"))</f>
        <v/>
      </c>
    </row>
    <row r="111">
      <c r="A111" t="n">
        <v>110</v>
      </c>
      <c r="B111" t="inlineStr">
        <is>
          <t>双开双控开关</t>
        </is>
      </c>
      <c r="C111" t="inlineStr">
        <is>
          <t>甲供</t>
        </is>
      </c>
      <c r="D111" t="inlineStr">
        <is>
          <t>个</t>
        </is>
      </c>
      <c r="E111" t="inlineStr">
        <is>
          <t>B1</t>
        </is>
      </c>
      <c r="F111" t="n">
        <v>68</v>
      </c>
      <c r="G111" s="4" t="n">
        <v>3</v>
      </c>
      <c r="H111" s="5" t="n"/>
      <c r="I111" s="4" t="n">
        <v>204</v>
      </c>
      <c r="J111" s="6">
        <f>H111*F111</f>
        <v/>
      </c>
      <c r="K111" s="6">
        <f>J111-I111</f>
        <v/>
      </c>
      <c r="L111" s="7">
        <f>IF(I111=0,"",K111/I111)</f>
        <v/>
      </c>
      <c r="M111" s="6">
        <f>IF(ABS(L111)&lt;0.02," 合理",IF(ABS(L111)&lt;0.05," 关注"," 复查"))</f>
        <v/>
      </c>
    </row>
    <row r="112">
      <c r="A112" t="n">
        <v>111</v>
      </c>
      <c r="B112" t="inlineStr">
        <is>
          <t>双开双控开关</t>
        </is>
      </c>
      <c r="C112" t="inlineStr">
        <is>
          <t>甲供</t>
        </is>
      </c>
      <c r="D112" t="inlineStr">
        <is>
          <t>个</t>
        </is>
      </c>
      <c r="E112" t="inlineStr">
        <is>
          <t>B2</t>
        </is>
      </c>
      <c r="F112" t="n">
        <v>17</v>
      </c>
      <c r="G112" s="4" t="n">
        <v>3</v>
      </c>
      <c r="H112" s="5" t="n"/>
      <c r="I112" s="4" t="n">
        <v>51</v>
      </c>
      <c r="J112" s="6">
        <f>H112*F112</f>
        <v/>
      </c>
      <c r="K112" s="6">
        <f>J112-I112</f>
        <v/>
      </c>
      <c r="L112" s="7">
        <f>IF(I112=0,"",K112/I112)</f>
        <v/>
      </c>
      <c r="M112" s="6">
        <f>IF(ABS(L112)&lt;0.02," 合理",IF(ABS(L112)&lt;0.05," 关注"," 复查"))</f>
        <v/>
      </c>
    </row>
    <row r="113">
      <c r="A113" t="n">
        <v>112</v>
      </c>
      <c r="B113" t="inlineStr">
        <is>
          <t>双开双控开关</t>
        </is>
      </c>
      <c r="C113" t="inlineStr">
        <is>
          <t>甲供</t>
        </is>
      </c>
      <c r="D113" t="inlineStr">
        <is>
          <t>个</t>
        </is>
      </c>
      <c r="E113" t="inlineStr">
        <is>
          <t>C</t>
        </is>
      </c>
      <c r="F113" t="n">
        <v>17</v>
      </c>
      <c r="G113" s="4" t="n">
        <v>4</v>
      </c>
      <c r="H113" s="5" t="n"/>
      <c r="I113" s="4" t="n">
        <v>68</v>
      </c>
      <c r="J113" s="6">
        <f>H113*F113</f>
        <v/>
      </c>
      <c r="K113" s="6">
        <f>J113-I113</f>
        <v/>
      </c>
      <c r="L113" s="7">
        <f>IF(I113=0,"",K113/I113)</f>
        <v/>
      </c>
      <c r="M113" s="6">
        <f>IF(ABS(L113)&lt;0.02," 合理",IF(ABS(L113)&lt;0.05," 关注"," 复查"))</f>
        <v/>
      </c>
    </row>
    <row r="114">
      <c r="A114" t="n">
        <v>113</v>
      </c>
      <c r="B114" t="inlineStr">
        <is>
          <t>双开双控开关</t>
        </is>
      </c>
      <c r="C114" t="inlineStr">
        <is>
          <t>甲供</t>
        </is>
      </c>
      <c r="D114" t="inlineStr">
        <is>
          <t>个</t>
        </is>
      </c>
      <c r="E114" t="inlineStr">
        <is>
          <t>D1</t>
        </is>
      </c>
      <c r="F114" t="n">
        <v>34</v>
      </c>
      <c r="G114" s="4" t="n">
        <v>2</v>
      </c>
      <c r="H114" s="5" t="n"/>
      <c r="I114" s="4" t="n">
        <v>68</v>
      </c>
      <c r="J114" s="6">
        <f>H114*F114</f>
        <v/>
      </c>
      <c r="K114" s="6">
        <f>J114-I114</f>
        <v/>
      </c>
      <c r="L114" s="7">
        <f>IF(I114=0,"",K114/I114)</f>
        <v/>
      </c>
      <c r="M114" s="6">
        <f>IF(ABS(L114)&lt;0.02," 合理",IF(ABS(L114)&lt;0.05," 关注"," 复查"))</f>
        <v/>
      </c>
    </row>
    <row r="115">
      <c r="A115" t="n">
        <v>114</v>
      </c>
      <c r="B115" t="inlineStr">
        <is>
          <t>双开双控开关</t>
        </is>
      </c>
      <c r="C115" t="inlineStr">
        <is>
          <t>甲供</t>
        </is>
      </c>
      <c r="D115" t="inlineStr">
        <is>
          <t>个</t>
        </is>
      </c>
      <c r="E115" t="inlineStr">
        <is>
          <t>D2</t>
        </is>
      </c>
      <c r="F115" t="n">
        <v>15</v>
      </c>
      <c r="G115" s="4" t="n">
        <v>2</v>
      </c>
      <c r="H115" s="5" t="n"/>
      <c r="I115" s="4" t="n">
        <v>30</v>
      </c>
      <c r="J115" s="6">
        <f>H115*F115</f>
        <v/>
      </c>
      <c r="K115" s="6">
        <f>J115-I115</f>
        <v/>
      </c>
      <c r="L115" s="7">
        <f>IF(I115=0,"",K115/I115)</f>
        <v/>
      </c>
      <c r="M115" s="6">
        <f>IF(ABS(L115)&lt;0.02," 合理",IF(ABS(L115)&lt;0.05," 关注"," 复查"))</f>
        <v/>
      </c>
    </row>
    <row r="116">
      <c r="A116" t="n">
        <v>115</v>
      </c>
      <c r="B116" t="inlineStr">
        <is>
          <t>双开双控开关</t>
        </is>
      </c>
      <c r="C116" t="inlineStr">
        <is>
          <t>甲供</t>
        </is>
      </c>
      <c r="D116" t="inlineStr">
        <is>
          <t>个</t>
        </is>
      </c>
      <c r="E116" t="inlineStr">
        <is>
          <t>D3</t>
        </is>
      </c>
      <c r="F116" t="n">
        <v>2</v>
      </c>
      <c r="G116" s="4" t="n">
        <v>2</v>
      </c>
      <c r="H116" s="5" t="n"/>
      <c r="I116" s="4" t="n">
        <v>4</v>
      </c>
      <c r="J116" s="6">
        <f>H116*F116</f>
        <v/>
      </c>
      <c r="K116" s="6">
        <f>J116-I116</f>
        <v/>
      </c>
      <c r="L116" s="7">
        <f>IF(I116=0,"",K116/I116)</f>
        <v/>
      </c>
      <c r="M116" s="6">
        <f>IF(ABS(L116)&lt;0.02," 合理",IF(ABS(L116)&lt;0.05," 关注"," 复查"))</f>
        <v/>
      </c>
    </row>
    <row r="117">
      <c r="A117" t="n">
        <v>116</v>
      </c>
      <c r="B117" t="inlineStr">
        <is>
          <t>双开双控开关</t>
        </is>
      </c>
      <c r="C117" t="inlineStr">
        <is>
          <t>甲供</t>
        </is>
      </c>
      <c r="D117" t="inlineStr">
        <is>
          <t>个</t>
        </is>
      </c>
      <c r="E117" t="inlineStr">
        <is>
          <t>D4</t>
        </is>
      </c>
      <c r="F117" t="n">
        <v>2</v>
      </c>
      <c r="G117" s="4" t="n">
        <v>2</v>
      </c>
      <c r="H117" s="5" t="n"/>
      <c r="I117" s="4" t="n">
        <v>4</v>
      </c>
      <c r="J117" s="6">
        <f>H117*F117</f>
        <v/>
      </c>
      <c r="K117" s="6">
        <f>J117-I117</f>
        <v/>
      </c>
      <c r="L117" s="7">
        <f>IF(I117=0,"",K117/I117)</f>
        <v/>
      </c>
      <c r="M117" s="6">
        <f>IF(ABS(L117)&lt;0.02," 合理",IF(ABS(L117)&lt;0.05," 关注"," 复查"))</f>
        <v/>
      </c>
    </row>
    <row r="118">
      <c r="A118" t="n">
        <v>117</v>
      </c>
      <c r="B118" t="inlineStr">
        <is>
          <t>双开双控开关</t>
        </is>
      </c>
      <c r="C118" t="inlineStr">
        <is>
          <t>甲供</t>
        </is>
      </c>
      <c r="D118" t="inlineStr">
        <is>
          <t>个</t>
        </is>
      </c>
      <c r="E118" t="inlineStr">
        <is>
          <t>E</t>
        </is>
      </c>
      <c r="F118" t="n">
        <v>28</v>
      </c>
      <c r="G118" s="4" t="n">
        <v>3</v>
      </c>
      <c r="H118" s="5" t="n"/>
      <c r="I118" s="4" t="n">
        <v>84</v>
      </c>
      <c r="J118" s="6">
        <f>H118*F118</f>
        <v/>
      </c>
      <c r="K118" s="6">
        <f>J118-I118</f>
        <v/>
      </c>
      <c r="L118" s="7">
        <f>IF(I118=0,"",K118/I118)</f>
        <v/>
      </c>
      <c r="M118" s="6">
        <f>IF(ABS(L118)&lt;0.02," 合理",IF(ABS(L118)&lt;0.05," 关注"," 复查"))</f>
        <v/>
      </c>
    </row>
    <row r="119">
      <c r="A119" t="n">
        <v>118</v>
      </c>
      <c r="B119" t="inlineStr">
        <is>
          <t>三开双控开关</t>
        </is>
      </c>
      <c r="C119" t="inlineStr">
        <is>
          <t>甲供</t>
        </is>
      </c>
      <c r="D119" t="inlineStr">
        <is>
          <t>个</t>
        </is>
      </c>
      <c r="E119" t="inlineStr">
        <is>
          <t>A1</t>
        </is>
      </c>
      <c r="F119" t="n">
        <v>34</v>
      </c>
      <c r="G119" s="4" t="n">
        <v>1</v>
      </c>
      <c r="H119" s="5" t="n"/>
      <c r="I119" s="4" t="n">
        <v>34</v>
      </c>
      <c r="J119" s="6">
        <f>H119*F119</f>
        <v/>
      </c>
      <c r="K119" s="6">
        <f>J119-I119</f>
        <v/>
      </c>
      <c r="L119" s="7">
        <f>IF(I119=0,"",K119/I119)</f>
        <v/>
      </c>
      <c r="M119" s="6">
        <f>IF(ABS(L119)&lt;0.02," 合理",IF(ABS(L119)&lt;0.05," 关注"," 复查"))</f>
        <v/>
      </c>
    </row>
    <row r="120">
      <c r="A120" t="n">
        <v>119</v>
      </c>
      <c r="B120" t="inlineStr">
        <is>
          <t>三开双控开关</t>
        </is>
      </c>
      <c r="C120" t="inlineStr">
        <is>
          <t>甲供</t>
        </is>
      </c>
      <c r="D120" t="inlineStr">
        <is>
          <t>个</t>
        </is>
      </c>
      <c r="E120" t="inlineStr">
        <is>
          <t>C</t>
        </is>
      </c>
      <c r="F120" t="n">
        <v>17</v>
      </c>
      <c r="G120" s="4" t="n">
        <v>1</v>
      </c>
      <c r="H120" s="5" t="n"/>
      <c r="I120" s="4" t="n">
        <v>17</v>
      </c>
      <c r="J120" s="6">
        <f>H120*F120</f>
        <v/>
      </c>
      <c r="K120" s="6">
        <f>J120-I120</f>
        <v/>
      </c>
      <c r="L120" s="7">
        <f>IF(I120=0,"",K120/I120)</f>
        <v/>
      </c>
      <c r="M120" s="6">
        <f>IF(ABS(L120)&lt;0.02," 合理",IF(ABS(L120)&lt;0.05," 关注"," 复查"))</f>
        <v/>
      </c>
    </row>
    <row r="121">
      <c r="A121" t="n">
        <v>120</v>
      </c>
      <c r="B121" t="inlineStr">
        <is>
          <t>三开双控开关</t>
        </is>
      </c>
      <c r="C121" t="inlineStr">
        <is>
          <t>甲供</t>
        </is>
      </c>
      <c r="D121" t="inlineStr">
        <is>
          <t>个</t>
        </is>
      </c>
      <c r="E121" t="inlineStr">
        <is>
          <t>D1</t>
        </is>
      </c>
      <c r="F121" t="n">
        <v>34</v>
      </c>
      <c r="G121" s="4" t="n">
        <v>1</v>
      </c>
      <c r="H121" s="5" t="n"/>
      <c r="I121" s="4" t="n">
        <v>34</v>
      </c>
      <c r="J121" s="6">
        <f>H121*F121</f>
        <v/>
      </c>
      <c r="K121" s="6">
        <f>J121-I121</f>
        <v/>
      </c>
      <c r="L121" s="7">
        <f>IF(I121=0,"",K121/I121)</f>
        <v/>
      </c>
      <c r="M121" s="6">
        <f>IF(ABS(L121)&lt;0.02," 合理",IF(ABS(L121)&lt;0.05," 关注"," 复查"))</f>
        <v/>
      </c>
    </row>
    <row r="122">
      <c r="A122" t="n">
        <v>121</v>
      </c>
      <c r="B122" t="inlineStr">
        <is>
          <t>三开双控开关</t>
        </is>
      </c>
      <c r="C122" t="inlineStr">
        <is>
          <t>甲供</t>
        </is>
      </c>
      <c r="D122" t="inlineStr">
        <is>
          <t>个</t>
        </is>
      </c>
      <c r="E122" t="inlineStr">
        <is>
          <t>D2</t>
        </is>
      </c>
      <c r="F122" t="n">
        <v>15</v>
      </c>
      <c r="G122" s="4" t="n">
        <v>1</v>
      </c>
      <c r="H122" s="5" t="n"/>
      <c r="I122" s="4" t="n">
        <v>15</v>
      </c>
      <c r="J122" s="6">
        <f>H122*F122</f>
        <v/>
      </c>
      <c r="K122" s="6">
        <f>J122-I122</f>
        <v/>
      </c>
      <c r="L122" s="7">
        <f>IF(I122=0,"",K122/I122)</f>
        <v/>
      </c>
      <c r="M122" s="6">
        <f>IF(ABS(L122)&lt;0.02," 合理",IF(ABS(L122)&lt;0.05," 关注"," 复查"))</f>
        <v/>
      </c>
    </row>
    <row r="123">
      <c r="A123" t="n">
        <v>122</v>
      </c>
      <c r="B123" t="inlineStr">
        <is>
          <t>三开双控开关</t>
        </is>
      </c>
      <c r="C123" t="inlineStr">
        <is>
          <t>甲供</t>
        </is>
      </c>
      <c r="D123" t="inlineStr">
        <is>
          <t>个</t>
        </is>
      </c>
      <c r="E123" t="inlineStr">
        <is>
          <t>D3</t>
        </is>
      </c>
      <c r="F123" t="n">
        <v>2</v>
      </c>
      <c r="G123" s="4" t="n">
        <v>1</v>
      </c>
      <c r="H123" s="5" t="n"/>
      <c r="I123" s="4" t="n">
        <v>2</v>
      </c>
      <c r="J123" s="6">
        <f>H123*F123</f>
        <v/>
      </c>
      <c r="K123" s="6">
        <f>J123-I123</f>
        <v/>
      </c>
      <c r="L123" s="7">
        <f>IF(I123=0,"",K123/I123)</f>
        <v/>
      </c>
      <c r="M123" s="6">
        <f>IF(ABS(L123)&lt;0.02," 合理",IF(ABS(L123)&lt;0.05," 关注"," 复查"))</f>
        <v/>
      </c>
    </row>
    <row r="124">
      <c r="A124" t="n">
        <v>123</v>
      </c>
      <c r="B124" t="inlineStr">
        <is>
          <t>三开双控开关</t>
        </is>
      </c>
      <c r="C124" t="inlineStr">
        <is>
          <t>甲供</t>
        </is>
      </c>
      <c r="D124" t="inlineStr">
        <is>
          <t>个</t>
        </is>
      </c>
      <c r="E124" t="inlineStr">
        <is>
          <t>D4</t>
        </is>
      </c>
      <c r="F124" t="n">
        <v>2</v>
      </c>
      <c r="G124" s="4" t="n">
        <v>1</v>
      </c>
      <c r="H124" s="5" t="n"/>
      <c r="I124" s="4" t="n">
        <v>2</v>
      </c>
      <c r="J124" s="6">
        <f>H124*F124</f>
        <v/>
      </c>
      <c r="K124" s="6">
        <f>J124-I124</f>
        <v/>
      </c>
      <c r="L124" s="7">
        <f>IF(I124=0,"",K124/I124)</f>
        <v/>
      </c>
      <c r="M124" s="6">
        <f>IF(ABS(L124)&lt;0.02," 合理",IF(ABS(L124)&lt;0.05," 关注"," 复查"))</f>
        <v/>
      </c>
    </row>
    <row r="125">
      <c r="A125" t="n">
        <v>124</v>
      </c>
      <c r="B125" t="inlineStr">
        <is>
          <t>三开双控开关</t>
        </is>
      </c>
      <c r="C125" t="inlineStr">
        <is>
          <t>甲供</t>
        </is>
      </c>
      <c r="D125" t="inlineStr">
        <is>
          <t>个</t>
        </is>
      </c>
      <c r="E125" t="inlineStr">
        <is>
          <t>E</t>
        </is>
      </c>
      <c r="F125" t="n">
        <v>28</v>
      </c>
      <c r="G125" s="4" t="n">
        <v>2</v>
      </c>
      <c r="H125" s="5" t="n"/>
      <c r="I125" s="4" t="n">
        <v>56</v>
      </c>
      <c r="J125" s="6">
        <f>H125*F125</f>
        <v/>
      </c>
      <c r="K125" s="6">
        <f>J125-I125</f>
        <v/>
      </c>
      <c r="L125" s="7">
        <f>IF(I125=0,"",K125/I125)</f>
        <v/>
      </c>
      <c r="M125" s="6">
        <f>IF(ABS(L125)&lt;0.02," 合理",IF(ABS(L125)&lt;0.05," 关注"," 复查"))</f>
        <v/>
      </c>
    </row>
    <row r="126">
      <c r="A126" t="n">
        <v>125</v>
      </c>
      <c r="B126" t="inlineStr">
        <is>
          <t>五孔防溅插座</t>
        </is>
      </c>
      <c r="C126" t="inlineStr">
        <is>
          <t>甲供</t>
        </is>
      </c>
      <c r="D126" t="inlineStr">
        <is>
          <t>个</t>
        </is>
      </c>
      <c r="E126" t="inlineStr">
        <is>
          <t>A1</t>
        </is>
      </c>
      <c r="F126" t="n">
        <v>34</v>
      </c>
      <c r="G126" s="4" t="n">
        <v>11</v>
      </c>
      <c r="H126" s="5" t="n"/>
      <c r="I126" s="4" t="n">
        <v>374</v>
      </c>
      <c r="J126" s="6">
        <f>H126*F126</f>
        <v/>
      </c>
      <c r="K126" s="6">
        <f>J126-I126</f>
        <v/>
      </c>
      <c r="L126" s="7">
        <f>IF(I126=0,"",K126/I126)</f>
        <v/>
      </c>
      <c r="M126" s="6">
        <f>IF(ABS(L126)&lt;0.02," 合理",IF(ABS(L126)&lt;0.05," 关注"," 复查"))</f>
        <v/>
      </c>
    </row>
    <row r="127">
      <c r="A127" t="n">
        <v>126</v>
      </c>
      <c r="B127" t="inlineStr">
        <is>
          <t>五孔防溅插座</t>
        </is>
      </c>
      <c r="C127" t="inlineStr">
        <is>
          <t>甲供</t>
        </is>
      </c>
      <c r="D127" t="inlineStr">
        <is>
          <t>个</t>
        </is>
      </c>
      <c r="E127" t="inlineStr">
        <is>
          <t>B1</t>
        </is>
      </c>
      <c r="F127" t="n">
        <v>68</v>
      </c>
      <c r="G127" s="4" t="n">
        <v>16</v>
      </c>
      <c r="H127" s="5" t="n"/>
      <c r="I127" s="4" t="n">
        <v>1088</v>
      </c>
      <c r="J127" s="6">
        <f>H127*F127</f>
        <v/>
      </c>
      <c r="K127" s="6">
        <f>J127-I127</f>
        <v/>
      </c>
      <c r="L127" s="7">
        <f>IF(I127=0,"",K127/I127)</f>
        <v/>
      </c>
      <c r="M127" s="6">
        <f>IF(ABS(L127)&lt;0.02," 合理",IF(ABS(L127)&lt;0.05," 关注"," 复查"))</f>
        <v/>
      </c>
    </row>
    <row r="128">
      <c r="A128" t="n">
        <v>127</v>
      </c>
      <c r="B128" t="inlineStr">
        <is>
          <t>五孔防溅插座</t>
        </is>
      </c>
      <c r="C128" t="inlineStr">
        <is>
          <t>甲供</t>
        </is>
      </c>
      <c r="D128" t="inlineStr">
        <is>
          <t>个</t>
        </is>
      </c>
      <c r="E128" t="inlineStr">
        <is>
          <t>B2</t>
        </is>
      </c>
      <c r="F128" t="n">
        <v>17</v>
      </c>
      <c r="G128" s="4" t="n">
        <v>16</v>
      </c>
      <c r="H128" s="5" t="n"/>
      <c r="I128" s="4" t="n">
        <v>272</v>
      </c>
      <c r="J128" s="6">
        <f>H128*F128</f>
        <v/>
      </c>
      <c r="K128" s="6">
        <f>J128-I128</f>
        <v/>
      </c>
      <c r="L128" s="7">
        <f>IF(I128=0,"",K128/I128)</f>
        <v/>
      </c>
      <c r="M128" s="6">
        <f>IF(ABS(L128)&lt;0.02," 合理",IF(ABS(L128)&lt;0.05," 关注"," 复查"))</f>
        <v/>
      </c>
    </row>
    <row r="129">
      <c r="A129" t="n">
        <v>128</v>
      </c>
      <c r="B129" t="inlineStr">
        <is>
          <t>五孔防溅插座</t>
        </is>
      </c>
      <c r="C129" t="inlineStr">
        <is>
          <t>甲供</t>
        </is>
      </c>
      <c r="D129" t="inlineStr">
        <is>
          <t>个</t>
        </is>
      </c>
      <c r="E129" t="inlineStr">
        <is>
          <t>C</t>
        </is>
      </c>
      <c r="F129" t="n">
        <v>17</v>
      </c>
      <c r="G129" s="4" t="n">
        <v>16</v>
      </c>
      <c r="H129" s="5" t="n"/>
      <c r="I129" s="4" t="n">
        <v>272</v>
      </c>
      <c r="J129" s="6">
        <f>H129*F129</f>
        <v/>
      </c>
      <c r="K129" s="6">
        <f>J129-I129</f>
        <v/>
      </c>
      <c r="L129" s="7">
        <f>IF(I129=0,"",K129/I129)</f>
        <v/>
      </c>
      <c r="M129" s="6">
        <f>IF(ABS(L129)&lt;0.02," 合理",IF(ABS(L129)&lt;0.05," 关注"," 复查"))</f>
        <v/>
      </c>
    </row>
    <row r="130">
      <c r="A130" t="n">
        <v>129</v>
      </c>
      <c r="B130" t="inlineStr">
        <is>
          <t>五孔防溅插座</t>
        </is>
      </c>
      <c r="C130" t="inlineStr">
        <is>
          <t>甲供</t>
        </is>
      </c>
      <c r="D130" t="inlineStr">
        <is>
          <t>个</t>
        </is>
      </c>
      <c r="E130" t="inlineStr">
        <is>
          <t>D1</t>
        </is>
      </c>
      <c r="F130" t="n">
        <v>34</v>
      </c>
      <c r="G130" s="4" t="n">
        <v>11</v>
      </c>
      <c r="H130" s="5" t="n"/>
      <c r="I130" s="4" t="n">
        <v>374</v>
      </c>
      <c r="J130" s="6">
        <f>H130*F130</f>
        <v/>
      </c>
      <c r="K130" s="6">
        <f>J130-I130</f>
        <v/>
      </c>
      <c r="L130" s="7">
        <f>IF(I130=0,"",K130/I130)</f>
        <v/>
      </c>
      <c r="M130" s="6">
        <f>IF(ABS(L130)&lt;0.02," 合理",IF(ABS(L130)&lt;0.05," 关注"," 复查"))</f>
        <v/>
      </c>
    </row>
    <row r="131">
      <c r="A131" t="n">
        <v>130</v>
      </c>
      <c r="B131" t="inlineStr">
        <is>
          <t>五孔防溅插座</t>
        </is>
      </c>
      <c r="C131" t="inlineStr">
        <is>
          <t>甲供</t>
        </is>
      </c>
      <c r="D131" t="inlineStr">
        <is>
          <t>个</t>
        </is>
      </c>
      <c r="E131" t="inlineStr">
        <is>
          <t>D2</t>
        </is>
      </c>
      <c r="F131" t="n">
        <v>15</v>
      </c>
      <c r="G131" s="4" t="n">
        <v>11</v>
      </c>
      <c r="H131" s="5" t="n"/>
      <c r="I131" s="4" t="n">
        <v>165</v>
      </c>
      <c r="J131" s="6">
        <f>H131*F131</f>
        <v/>
      </c>
      <c r="K131" s="6">
        <f>J131-I131</f>
        <v/>
      </c>
      <c r="L131" s="7">
        <f>IF(I131=0,"",K131/I131)</f>
        <v/>
      </c>
      <c r="M131" s="6">
        <f>IF(ABS(L131)&lt;0.02," 合理",IF(ABS(L131)&lt;0.05," 关注"," 复查"))</f>
        <v/>
      </c>
    </row>
    <row r="132">
      <c r="A132" t="n">
        <v>131</v>
      </c>
      <c r="B132" t="inlineStr">
        <is>
          <t>五孔防溅插座</t>
        </is>
      </c>
      <c r="C132" t="inlineStr">
        <is>
          <t>甲供</t>
        </is>
      </c>
      <c r="D132" t="inlineStr">
        <is>
          <t>个</t>
        </is>
      </c>
      <c r="E132" t="inlineStr">
        <is>
          <t>D3</t>
        </is>
      </c>
      <c r="F132" t="n">
        <v>2</v>
      </c>
      <c r="G132" s="4" t="n">
        <v>11</v>
      </c>
      <c r="H132" s="5" t="n"/>
      <c r="I132" s="4" t="n">
        <v>22</v>
      </c>
      <c r="J132" s="6">
        <f>H132*F132</f>
        <v/>
      </c>
      <c r="K132" s="6">
        <f>J132-I132</f>
        <v/>
      </c>
      <c r="L132" s="7">
        <f>IF(I132=0,"",K132/I132)</f>
        <v/>
      </c>
      <c r="M132" s="6">
        <f>IF(ABS(L132)&lt;0.02," 合理",IF(ABS(L132)&lt;0.05," 关注"," 复查"))</f>
        <v/>
      </c>
    </row>
    <row r="133">
      <c r="A133" t="n">
        <v>132</v>
      </c>
      <c r="B133" t="inlineStr">
        <is>
          <t>五孔防溅插座</t>
        </is>
      </c>
      <c r="C133" t="inlineStr">
        <is>
          <t>甲供</t>
        </is>
      </c>
      <c r="D133" t="inlineStr">
        <is>
          <t>个</t>
        </is>
      </c>
      <c r="E133" t="inlineStr">
        <is>
          <t>D4</t>
        </is>
      </c>
      <c r="F133" t="n">
        <v>2</v>
      </c>
      <c r="G133" s="4" t="n">
        <v>11</v>
      </c>
      <c r="H133" s="5" t="n"/>
      <c r="I133" s="4" t="n">
        <v>22</v>
      </c>
      <c r="J133" s="6">
        <f>H133*F133</f>
        <v/>
      </c>
      <c r="K133" s="6">
        <f>J133-I133</f>
        <v/>
      </c>
      <c r="L133" s="7">
        <f>IF(I133=0,"",K133/I133)</f>
        <v/>
      </c>
      <c r="M133" s="6">
        <f>IF(ABS(L133)&lt;0.02," 合理",IF(ABS(L133)&lt;0.05," 关注"," 复查"))</f>
        <v/>
      </c>
    </row>
    <row r="134">
      <c r="A134" t="n">
        <v>133</v>
      </c>
      <c r="B134" t="inlineStr">
        <is>
          <t>五孔防溅插座</t>
        </is>
      </c>
      <c r="C134" t="inlineStr">
        <is>
          <t>甲供</t>
        </is>
      </c>
      <c r="D134" t="inlineStr">
        <is>
          <t>个</t>
        </is>
      </c>
      <c r="E134" t="inlineStr">
        <is>
          <t>E</t>
        </is>
      </c>
      <c r="F134" t="n">
        <v>28</v>
      </c>
      <c r="G134" s="4" t="n">
        <v>12</v>
      </c>
      <c r="H134" s="5" t="n"/>
      <c r="I134" s="4" t="n">
        <v>336</v>
      </c>
      <c r="J134" s="6">
        <f>H134*F134</f>
        <v/>
      </c>
      <c r="K134" s="6">
        <f>J134-I134</f>
        <v/>
      </c>
      <c r="L134" s="7">
        <f>IF(I134=0,"",K134/I134)</f>
        <v/>
      </c>
      <c r="M134" s="6">
        <f>IF(ABS(L134)&lt;0.02," 合理",IF(ABS(L134)&lt;0.05," 关注"," 复查"))</f>
        <v/>
      </c>
    </row>
    <row r="135">
      <c r="A135" t="n">
        <v>134</v>
      </c>
      <c r="B135" t="inlineStr">
        <is>
          <t>暗装五孔插座</t>
        </is>
      </c>
      <c r="C135" t="inlineStr">
        <is>
          <t>甲供</t>
        </is>
      </c>
      <c r="D135" t="inlineStr">
        <is>
          <t>个</t>
        </is>
      </c>
      <c r="E135" t="inlineStr">
        <is>
          <t>A1</t>
        </is>
      </c>
      <c r="F135" t="n">
        <v>34</v>
      </c>
      <c r="G135" s="4" t="n">
        <v>30</v>
      </c>
      <c r="H135" s="5" t="n"/>
      <c r="I135" s="4" t="n">
        <v>1020</v>
      </c>
      <c r="J135" s="6">
        <f>H135*F135</f>
        <v/>
      </c>
      <c r="K135" s="6">
        <f>J135-I135</f>
        <v/>
      </c>
      <c r="L135" s="7">
        <f>IF(I135=0,"",K135/I135)</f>
        <v/>
      </c>
      <c r="M135" s="6">
        <f>IF(ABS(L135)&lt;0.02," 合理",IF(ABS(L135)&lt;0.05," 关注"," 复查"))</f>
        <v/>
      </c>
    </row>
    <row r="136">
      <c r="A136" t="n">
        <v>135</v>
      </c>
      <c r="B136" t="inlineStr">
        <is>
          <t>暗装五孔插座</t>
        </is>
      </c>
      <c r="C136" t="inlineStr">
        <is>
          <t>甲供</t>
        </is>
      </c>
      <c r="D136" t="inlineStr">
        <is>
          <t>个</t>
        </is>
      </c>
      <c r="E136" t="inlineStr">
        <is>
          <t>B1</t>
        </is>
      </c>
      <c r="F136" t="n">
        <v>68</v>
      </c>
      <c r="G136" s="4" t="n">
        <v>29</v>
      </c>
      <c r="H136" s="5" t="n"/>
      <c r="I136" s="4" t="n">
        <v>1972</v>
      </c>
      <c r="J136" s="6">
        <f>H136*F136</f>
        <v/>
      </c>
      <c r="K136" s="6">
        <f>J136-I136</f>
        <v/>
      </c>
      <c r="L136" s="7">
        <f>IF(I136=0,"",K136/I136)</f>
        <v/>
      </c>
      <c r="M136" s="6">
        <f>IF(ABS(L136)&lt;0.02," 合理",IF(ABS(L136)&lt;0.05," 关注"," 复查"))</f>
        <v/>
      </c>
    </row>
    <row r="137">
      <c r="A137" t="n">
        <v>136</v>
      </c>
      <c r="B137" t="inlineStr">
        <is>
          <t>暗装五孔插座</t>
        </is>
      </c>
      <c r="C137" t="inlineStr">
        <is>
          <t>甲供</t>
        </is>
      </c>
      <c r="D137" t="inlineStr">
        <is>
          <t>个</t>
        </is>
      </c>
      <c r="E137" t="inlineStr">
        <is>
          <t>B2</t>
        </is>
      </c>
      <c r="F137" t="n">
        <v>17</v>
      </c>
      <c r="G137" s="4" t="n">
        <v>29</v>
      </c>
      <c r="H137" s="5" t="n"/>
      <c r="I137" s="4" t="n">
        <v>493</v>
      </c>
      <c r="J137" s="6">
        <f>H137*F137</f>
        <v/>
      </c>
      <c r="K137" s="6">
        <f>J137-I137</f>
        <v/>
      </c>
      <c r="L137" s="7">
        <f>IF(I137=0,"",K137/I137)</f>
        <v/>
      </c>
      <c r="M137" s="6">
        <f>IF(ABS(L137)&lt;0.02," 合理",IF(ABS(L137)&lt;0.05," 关注"," 复查"))</f>
        <v/>
      </c>
    </row>
    <row r="138">
      <c r="A138" t="n">
        <v>137</v>
      </c>
      <c r="B138" t="inlineStr">
        <is>
          <t>暗装五孔插座</t>
        </is>
      </c>
      <c r="C138" t="inlineStr">
        <is>
          <t>甲供</t>
        </is>
      </c>
      <c r="D138" t="inlineStr">
        <is>
          <t>个</t>
        </is>
      </c>
      <c r="E138" t="inlineStr">
        <is>
          <t>C</t>
        </is>
      </c>
      <c r="F138" t="n">
        <v>17</v>
      </c>
      <c r="G138" s="4" t="n">
        <v>36</v>
      </c>
      <c r="H138" s="5" t="n"/>
      <c r="I138" s="4" t="n">
        <v>612</v>
      </c>
      <c r="J138" s="6">
        <f>H138*F138</f>
        <v/>
      </c>
      <c r="K138" s="6">
        <f>J138-I138</f>
        <v/>
      </c>
      <c r="L138" s="7">
        <f>IF(I138=0,"",K138/I138)</f>
        <v/>
      </c>
      <c r="M138" s="6">
        <f>IF(ABS(L138)&lt;0.02," 合理",IF(ABS(L138)&lt;0.05," 关注"," 复查"))</f>
        <v/>
      </c>
    </row>
    <row r="139">
      <c r="A139" t="n">
        <v>138</v>
      </c>
      <c r="B139" t="inlineStr">
        <is>
          <t>暗装五孔插座</t>
        </is>
      </c>
      <c r="C139" t="inlineStr">
        <is>
          <t>甲供</t>
        </is>
      </c>
      <c r="D139" t="inlineStr">
        <is>
          <t>个</t>
        </is>
      </c>
      <c r="E139" t="inlineStr">
        <is>
          <t>D1</t>
        </is>
      </c>
      <c r="F139" t="n">
        <v>34</v>
      </c>
      <c r="G139" s="4" t="n">
        <v>33</v>
      </c>
      <c r="H139" s="5" t="n"/>
      <c r="I139" s="4" t="n">
        <v>1122</v>
      </c>
      <c r="J139" s="6">
        <f>H139*F139</f>
        <v/>
      </c>
      <c r="K139" s="6">
        <f>J139-I139</f>
        <v/>
      </c>
      <c r="L139" s="7">
        <f>IF(I139=0,"",K139/I139)</f>
        <v/>
      </c>
      <c r="M139" s="6">
        <f>IF(ABS(L139)&lt;0.02," 合理",IF(ABS(L139)&lt;0.05," 关注"," 复查"))</f>
        <v/>
      </c>
    </row>
    <row r="140">
      <c r="A140" t="n">
        <v>139</v>
      </c>
      <c r="B140" t="inlineStr">
        <is>
          <t>暗装五孔插座</t>
        </is>
      </c>
      <c r="C140" t="inlineStr">
        <is>
          <t>甲供</t>
        </is>
      </c>
      <c r="D140" t="inlineStr">
        <is>
          <t>个</t>
        </is>
      </c>
      <c r="E140" t="inlineStr">
        <is>
          <t>D2</t>
        </is>
      </c>
      <c r="F140" t="n">
        <v>15</v>
      </c>
      <c r="G140" s="4" t="n">
        <v>33</v>
      </c>
      <c r="H140" s="5" t="n"/>
      <c r="I140" s="4" t="n">
        <v>495</v>
      </c>
      <c r="J140" s="6">
        <f>H140*F140</f>
        <v/>
      </c>
      <c r="K140" s="6">
        <f>J140-I140</f>
        <v/>
      </c>
      <c r="L140" s="7">
        <f>IF(I140=0,"",K140/I140)</f>
        <v/>
      </c>
      <c r="M140" s="6">
        <f>IF(ABS(L140)&lt;0.02," 合理",IF(ABS(L140)&lt;0.05," 关注"," 复查"))</f>
        <v/>
      </c>
    </row>
    <row r="141">
      <c r="A141" t="n">
        <v>140</v>
      </c>
      <c r="B141" t="inlineStr">
        <is>
          <t>暗装五孔插座</t>
        </is>
      </c>
      <c r="C141" t="inlineStr">
        <is>
          <t>甲供</t>
        </is>
      </c>
      <c r="D141" t="inlineStr">
        <is>
          <t>个</t>
        </is>
      </c>
      <c r="E141" t="inlineStr">
        <is>
          <t>D3</t>
        </is>
      </c>
      <c r="F141" t="n">
        <v>2</v>
      </c>
      <c r="G141" s="4" t="n">
        <v>33</v>
      </c>
      <c r="H141" s="5" t="n"/>
      <c r="I141" s="4" t="n">
        <v>66</v>
      </c>
      <c r="J141" s="6">
        <f>H141*F141</f>
        <v/>
      </c>
      <c r="K141" s="6">
        <f>J141-I141</f>
        <v/>
      </c>
      <c r="L141" s="7">
        <f>IF(I141=0,"",K141/I141)</f>
        <v/>
      </c>
      <c r="M141" s="6">
        <f>IF(ABS(L141)&lt;0.02," 合理",IF(ABS(L141)&lt;0.05," 关注"," 复查"))</f>
        <v/>
      </c>
    </row>
    <row r="142">
      <c r="A142" t="n">
        <v>141</v>
      </c>
      <c r="B142" t="inlineStr">
        <is>
          <t>暗装五孔插座</t>
        </is>
      </c>
      <c r="C142" t="inlineStr">
        <is>
          <t>甲供</t>
        </is>
      </c>
      <c r="D142" t="inlineStr">
        <is>
          <t>个</t>
        </is>
      </c>
      <c r="E142" t="inlineStr">
        <is>
          <t>D4</t>
        </is>
      </c>
      <c r="F142" t="n">
        <v>2</v>
      </c>
      <c r="G142" s="4" t="n">
        <v>33</v>
      </c>
      <c r="H142" s="5" t="n"/>
      <c r="I142" s="4" t="n">
        <v>66</v>
      </c>
      <c r="J142" s="6">
        <f>H142*F142</f>
        <v/>
      </c>
      <c r="K142" s="6">
        <f>J142-I142</f>
        <v/>
      </c>
      <c r="L142" s="7">
        <f>IF(I142=0,"",K142/I142)</f>
        <v/>
      </c>
      <c r="M142" s="6">
        <f>IF(ABS(L142)&lt;0.02," 合理",IF(ABS(L142)&lt;0.05," 关注"," 复查"))</f>
        <v/>
      </c>
    </row>
    <row r="143">
      <c r="A143" t="n">
        <v>142</v>
      </c>
      <c r="B143" t="inlineStr">
        <is>
          <t>暗装五孔插座</t>
        </is>
      </c>
      <c r="C143" t="inlineStr">
        <is>
          <t>甲供</t>
        </is>
      </c>
      <c r="D143" t="inlineStr">
        <is>
          <t>个</t>
        </is>
      </c>
      <c r="E143" t="inlineStr">
        <is>
          <t>E</t>
        </is>
      </c>
      <c r="F143" t="n">
        <v>28</v>
      </c>
      <c r="G143" s="4" t="n">
        <v>33</v>
      </c>
      <c r="H143" s="5" t="n"/>
      <c r="I143" s="4" t="n">
        <v>924</v>
      </c>
      <c r="J143" s="6">
        <f>H143*F143</f>
        <v/>
      </c>
      <c r="K143" s="6">
        <f>J143-I143</f>
        <v/>
      </c>
      <c r="L143" s="7">
        <f>IF(I143=0,"",K143/I143)</f>
        <v/>
      </c>
      <c r="M143" s="6">
        <f>IF(ABS(L143)&lt;0.02," 合理",IF(ABS(L143)&lt;0.05," 关注"," 复查"))</f>
        <v/>
      </c>
    </row>
    <row r="144">
      <c r="A144" t="n">
        <v>143</v>
      </c>
      <c r="B144" t="inlineStr">
        <is>
          <t>三孔防溅插座(带开关)</t>
        </is>
      </c>
      <c r="C144" t="inlineStr">
        <is>
          <t>甲供</t>
        </is>
      </c>
      <c r="D144" t="inlineStr">
        <is>
          <t>个</t>
        </is>
      </c>
      <c r="E144" t="inlineStr">
        <is>
          <t>A1</t>
        </is>
      </c>
      <c r="F144" t="n">
        <v>34</v>
      </c>
      <c r="G144" s="4" t="n">
        <v>4</v>
      </c>
      <c r="H144" s="5" t="n"/>
      <c r="I144" s="4" t="n">
        <v>136</v>
      </c>
      <c r="J144" s="6">
        <f>H144*F144</f>
        <v/>
      </c>
      <c r="K144" s="6">
        <f>J144-I144</f>
        <v/>
      </c>
      <c r="L144" s="7">
        <f>IF(I144=0,"",K144/I144)</f>
        <v/>
      </c>
      <c r="M144" s="6">
        <f>IF(ABS(L144)&lt;0.02," 合理",IF(ABS(L144)&lt;0.05," 关注"," 复查"))</f>
        <v/>
      </c>
    </row>
    <row r="145">
      <c r="A145" t="n">
        <v>144</v>
      </c>
      <c r="B145" t="inlineStr">
        <is>
          <t>三孔防溅插座(带开关)</t>
        </is>
      </c>
      <c r="C145" t="inlineStr">
        <is>
          <t>甲供</t>
        </is>
      </c>
      <c r="D145" t="inlineStr">
        <is>
          <t>个</t>
        </is>
      </c>
      <c r="E145" t="inlineStr">
        <is>
          <t>B1</t>
        </is>
      </c>
      <c r="F145" t="n">
        <v>68</v>
      </c>
      <c r="G145" s="4" t="n">
        <v>3</v>
      </c>
      <c r="H145" s="5" t="n"/>
      <c r="I145" s="4" t="n">
        <v>204</v>
      </c>
      <c r="J145" s="6">
        <f>H145*F145</f>
        <v/>
      </c>
      <c r="K145" s="6">
        <f>J145-I145</f>
        <v/>
      </c>
      <c r="L145" s="7">
        <f>IF(I145=0,"",K145/I145)</f>
        <v/>
      </c>
      <c r="M145" s="6">
        <f>IF(ABS(L145)&lt;0.02," 合理",IF(ABS(L145)&lt;0.05," 关注"," 复查"))</f>
        <v/>
      </c>
    </row>
    <row r="146">
      <c r="A146" t="n">
        <v>145</v>
      </c>
      <c r="B146" t="inlineStr">
        <is>
          <t>三孔防溅插座(带开关)</t>
        </is>
      </c>
      <c r="C146" t="inlineStr">
        <is>
          <t>甲供</t>
        </is>
      </c>
      <c r="D146" t="inlineStr">
        <is>
          <t>个</t>
        </is>
      </c>
      <c r="E146" t="inlineStr">
        <is>
          <t>B2</t>
        </is>
      </c>
      <c r="F146" t="n">
        <v>17</v>
      </c>
      <c r="G146" s="4" t="n">
        <v>3</v>
      </c>
      <c r="H146" s="5" t="n"/>
      <c r="I146" s="4" t="n">
        <v>51</v>
      </c>
      <c r="J146" s="6">
        <f>H146*F146</f>
        <v/>
      </c>
      <c r="K146" s="6">
        <f>J146-I146</f>
        <v/>
      </c>
      <c r="L146" s="7">
        <f>IF(I146=0,"",K146/I146)</f>
        <v/>
      </c>
      <c r="M146" s="6">
        <f>IF(ABS(L146)&lt;0.02," 合理",IF(ABS(L146)&lt;0.05," 关注"," 复查"))</f>
        <v/>
      </c>
    </row>
    <row r="147">
      <c r="A147" t="n">
        <v>146</v>
      </c>
      <c r="B147" t="inlineStr">
        <is>
          <t>三孔防溅插座(带开关)</t>
        </is>
      </c>
      <c r="C147" t="inlineStr">
        <is>
          <t>甲供</t>
        </is>
      </c>
      <c r="D147" t="inlineStr">
        <is>
          <t>个</t>
        </is>
      </c>
      <c r="E147" t="inlineStr">
        <is>
          <t>C</t>
        </is>
      </c>
      <c r="F147" t="n">
        <v>17</v>
      </c>
      <c r="G147" s="4" t="n">
        <v>1</v>
      </c>
      <c r="H147" s="5" t="n"/>
      <c r="I147" s="4" t="n">
        <v>17</v>
      </c>
      <c r="J147" s="6">
        <f>H147*F147</f>
        <v/>
      </c>
      <c r="K147" s="6">
        <f>J147-I147</f>
        <v/>
      </c>
      <c r="L147" s="7">
        <f>IF(I147=0,"",K147/I147)</f>
        <v/>
      </c>
      <c r="M147" s="6">
        <f>IF(ABS(L147)&lt;0.02," 合理",IF(ABS(L147)&lt;0.05," 关注"," 复查"))</f>
        <v/>
      </c>
    </row>
    <row r="148">
      <c r="A148" t="n">
        <v>147</v>
      </c>
      <c r="B148" t="inlineStr">
        <is>
          <t>三孔防溅插座(带开关)</t>
        </is>
      </c>
      <c r="C148" t="inlineStr">
        <is>
          <t>甲供</t>
        </is>
      </c>
      <c r="D148" t="inlineStr">
        <is>
          <t>个</t>
        </is>
      </c>
      <c r="E148" t="inlineStr">
        <is>
          <t>D1</t>
        </is>
      </c>
      <c r="F148" t="n">
        <v>34</v>
      </c>
      <c r="G148" s="4" t="n">
        <v>4</v>
      </c>
      <c r="H148" s="5" t="n"/>
      <c r="I148" s="4" t="n">
        <v>136</v>
      </c>
      <c r="J148" s="6">
        <f>H148*F148</f>
        <v/>
      </c>
      <c r="K148" s="6">
        <f>J148-I148</f>
        <v/>
      </c>
      <c r="L148" s="7">
        <f>IF(I148=0,"",K148/I148)</f>
        <v/>
      </c>
      <c r="M148" s="6">
        <f>IF(ABS(L148)&lt;0.02," 合理",IF(ABS(L148)&lt;0.05," 关注"," 复查"))</f>
        <v/>
      </c>
    </row>
    <row r="149">
      <c r="A149" t="n">
        <v>148</v>
      </c>
      <c r="B149" t="inlineStr">
        <is>
          <t>三孔防溅插座(带开关)</t>
        </is>
      </c>
      <c r="C149" t="inlineStr">
        <is>
          <t>甲供</t>
        </is>
      </c>
      <c r="D149" t="inlineStr">
        <is>
          <t>个</t>
        </is>
      </c>
      <c r="E149" t="inlineStr">
        <is>
          <t>D2</t>
        </is>
      </c>
      <c r="F149" t="n">
        <v>15</v>
      </c>
      <c r="G149" s="4" t="n">
        <v>4</v>
      </c>
      <c r="H149" s="5" t="n"/>
      <c r="I149" s="4" t="n">
        <v>60</v>
      </c>
      <c r="J149" s="6">
        <f>H149*F149</f>
        <v/>
      </c>
      <c r="K149" s="6">
        <f>J149-I149</f>
        <v/>
      </c>
      <c r="L149" s="7">
        <f>IF(I149=0,"",K149/I149)</f>
        <v/>
      </c>
      <c r="M149" s="6">
        <f>IF(ABS(L149)&lt;0.02," 合理",IF(ABS(L149)&lt;0.05," 关注"," 复查"))</f>
        <v/>
      </c>
    </row>
    <row r="150">
      <c r="A150" t="n">
        <v>149</v>
      </c>
      <c r="B150" t="inlineStr">
        <is>
          <t>三孔防溅插座(带开关)</t>
        </is>
      </c>
      <c r="C150" t="inlineStr">
        <is>
          <t>甲供</t>
        </is>
      </c>
      <c r="D150" t="inlineStr">
        <is>
          <t>个</t>
        </is>
      </c>
      <c r="E150" t="inlineStr">
        <is>
          <t>D3</t>
        </is>
      </c>
      <c r="F150" t="n">
        <v>2</v>
      </c>
      <c r="G150" s="4" t="n">
        <v>4</v>
      </c>
      <c r="H150" s="5" t="n"/>
      <c r="I150" s="4" t="n">
        <v>8</v>
      </c>
      <c r="J150" s="6">
        <f>H150*F150</f>
        <v/>
      </c>
      <c r="K150" s="6">
        <f>J150-I150</f>
        <v/>
      </c>
      <c r="L150" s="7">
        <f>IF(I150=0,"",K150/I150)</f>
        <v/>
      </c>
      <c r="M150" s="6">
        <f>IF(ABS(L150)&lt;0.02," 合理",IF(ABS(L150)&lt;0.05," 关注"," 复查"))</f>
        <v/>
      </c>
    </row>
    <row r="151">
      <c r="A151" t="n">
        <v>150</v>
      </c>
      <c r="B151" t="inlineStr">
        <is>
          <t>三孔防溅插座(带开关)</t>
        </is>
      </c>
      <c r="C151" t="inlineStr">
        <is>
          <t>甲供</t>
        </is>
      </c>
      <c r="D151" t="inlineStr">
        <is>
          <t>个</t>
        </is>
      </c>
      <c r="E151" t="inlineStr">
        <is>
          <t>D4</t>
        </is>
      </c>
      <c r="F151" t="n">
        <v>2</v>
      </c>
      <c r="G151" s="4" t="n">
        <v>4</v>
      </c>
      <c r="H151" s="5" t="n"/>
      <c r="I151" s="4" t="n">
        <v>8</v>
      </c>
      <c r="J151" s="6">
        <f>H151*F151</f>
        <v/>
      </c>
      <c r="K151" s="6">
        <f>J151-I151</f>
        <v/>
      </c>
      <c r="L151" s="7">
        <f>IF(I151=0,"",K151/I151)</f>
        <v/>
      </c>
      <c r="M151" s="6">
        <f>IF(ABS(L151)&lt;0.02," 合理",IF(ABS(L151)&lt;0.05," 关注"," 复查"))</f>
        <v/>
      </c>
    </row>
    <row r="152">
      <c r="A152" t="n">
        <v>151</v>
      </c>
      <c r="B152" t="inlineStr">
        <is>
          <t>三孔防溅插座(带开关)</t>
        </is>
      </c>
      <c r="C152" t="inlineStr">
        <is>
          <t>甲供</t>
        </is>
      </c>
      <c r="D152" t="inlineStr">
        <is>
          <t>个</t>
        </is>
      </c>
      <c r="E152" t="inlineStr">
        <is>
          <t>E</t>
        </is>
      </c>
      <c r="F152" t="n">
        <v>28</v>
      </c>
      <c r="G152" s="4" t="n">
        <v>2</v>
      </c>
      <c r="H152" s="5" t="n"/>
      <c r="I152" s="4" t="n">
        <v>56</v>
      </c>
      <c r="J152" s="6">
        <f>H152*F152</f>
        <v/>
      </c>
      <c r="K152" s="6">
        <f>J152-I152</f>
        <v/>
      </c>
      <c r="L152" s="7">
        <f>IF(I152=0,"",K152/I152)</f>
        <v/>
      </c>
      <c r="M152" s="6">
        <f>IF(ABS(L152)&lt;0.02," 合理",IF(ABS(L152)&lt;0.05," 关注"," 复查"))</f>
        <v/>
      </c>
    </row>
    <row r="153">
      <c r="A153" t="n">
        <v>152</v>
      </c>
      <c r="B153" t="inlineStr">
        <is>
          <t>五孔防溅插座(带开关)</t>
        </is>
      </c>
      <c r="C153" t="inlineStr">
        <is>
          <t>甲供</t>
        </is>
      </c>
      <c r="D153" t="inlineStr">
        <is>
          <t>个</t>
        </is>
      </c>
      <c r="E153" t="inlineStr">
        <is>
          <t>A1</t>
        </is>
      </c>
      <c r="F153" t="n">
        <v>34</v>
      </c>
      <c r="G153" s="4" t="n">
        <v>4</v>
      </c>
      <c r="H153" s="5" t="n"/>
      <c r="I153" s="4" t="n">
        <v>136</v>
      </c>
      <c r="J153" s="6">
        <f>H153*F153</f>
        <v/>
      </c>
      <c r="K153" s="6">
        <f>J153-I153</f>
        <v/>
      </c>
      <c r="L153" s="7">
        <f>IF(I153=0,"",K153/I153)</f>
        <v/>
      </c>
      <c r="M153" s="6">
        <f>IF(ABS(L153)&lt;0.02," 合理",IF(ABS(L153)&lt;0.05," 关注"," 复查"))</f>
        <v/>
      </c>
    </row>
    <row r="154">
      <c r="A154" t="n">
        <v>153</v>
      </c>
      <c r="B154" t="inlineStr">
        <is>
          <t>五孔防溅插座(带开关)</t>
        </is>
      </c>
      <c r="C154" t="inlineStr">
        <is>
          <t>甲供</t>
        </is>
      </c>
      <c r="D154" t="inlineStr">
        <is>
          <t>个</t>
        </is>
      </c>
      <c r="E154" t="inlineStr">
        <is>
          <t>B1</t>
        </is>
      </c>
      <c r="F154" t="n">
        <v>68</v>
      </c>
      <c r="G154" s="4" t="n">
        <v>6</v>
      </c>
      <c r="H154" s="5" t="n"/>
      <c r="I154" s="4" t="n">
        <v>408</v>
      </c>
      <c r="J154" s="6">
        <f>H154*F154</f>
        <v/>
      </c>
      <c r="K154" s="6">
        <f>J154-I154</f>
        <v/>
      </c>
      <c r="L154" s="7">
        <f>IF(I154=0,"",K154/I154)</f>
        <v/>
      </c>
      <c r="M154" s="6">
        <f>IF(ABS(L154)&lt;0.02," 合理",IF(ABS(L154)&lt;0.05," 关注"," 复查"))</f>
        <v/>
      </c>
    </row>
    <row r="155">
      <c r="A155" t="n">
        <v>154</v>
      </c>
      <c r="B155" t="inlineStr">
        <is>
          <t>五孔防溅插座(带开关)</t>
        </is>
      </c>
      <c r="C155" t="inlineStr">
        <is>
          <t>甲供</t>
        </is>
      </c>
      <c r="D155" t="inlineStr">
        <is>
          <t>个</t>
        </is>
      </c>
      <c r="E155" t="inlineStr">
        <is>
          <t>B2</t>
        </is>
      </c>
      <c r="F155" t="n">
        <v>17</v>
      </c>
      <c r="G155" s="4" t="n">
        <v>6</v>
      </c>
      <c r="H155" s="5" t="n"/>
      <c r="I155" s="4" t="n">
        <v>102</v>
      </c>
      <c r="J155" s="6">
        <f>H155*F155</f>
        <v/>
      </c>
      <c r="K155" s="6">
        <f>J155-I155</f>
        <v/>
      </c>
      <c r="L155" s="7">
        <f>IF(I155=0,"",K155/I155)</f>
        <v/>
      </c>
      <c r="M155" s="6">
        <f>IF(ABS(L155)&lt;0.02," 合理",IF(ABS(L155)&lt;0.05," 关注"," 复查"))</f>
        <v/>
      </c>
    </row>
    <row r="156">
      <c r="A156" t="n">
        <v>155</v>
      </c>
      <c r="B156" t="inlineStr">
        <is>
          <t>五孔防溅插座(带开关)</t>
        </is>
      </c>
      <c r="C156" t="inlineStr">
        <is>
          <t>甲供</t>
        </is>
      </c>
      <c r="D156" t="inlineStr">
        <is>
          <t>个</t>
        </is>
      </c>
      <c r="E156" t="inlineStr">
        <is>
          <t>C</t>
        </is>
      </c>
      <c r="F156" t="n">
        <v>17</v>
      </c>
      <c r="G156" s="4" t="n">
        <v>4</v>
      </c>
      <c r="H156" s="5" t="n"/>
      <c r="I156" s="4" t="n">
        <v>68</v>
      </c>
      <c r="J156" s="6">
        <f>H156*F156</f>
        <v/>
      </c>
      <c r="K156" s="6">
        <f>J156-I156</f>
        <v/>
      </c>
      <c r="L156" s="7">
        <f>IF(I156=0,"",K156/I156)</f>
        <v/>
      </c>
      <c r="M156" s="6">
        <f>IF(ABS(L156)&lt;0.02," 合理",IF(ABS(L156)&lt;0.05," 关注"," 复查"))</f>
        <v/>
      </c>
    </row>
    <row r="157">
      <c r="A157" t="n">
        <v>156</v>
      </c>
      <c r="B157" t="inlineStr">
        <is>
          <t>五孔防溅插座(带开关)</t>
        </is>
      </c>
      <c r="C157" t="inlineStr">
        <is>
          <t>甲供</t>
        </is>
      </c>
      <c r="D157" t="inlineStr">
        <is>
          <t>个</t>
        </is>
      </c>
      <c r="E157" t="inlineStr">
        <is>
          <t>D1</t>
        </is>
      </c>
      <c r="F157" t="n">
        <v>34</v>
      </c>
      <c r="G157" s="4" t="n">
        <v>4</v>
      </c>
      <c r="H157" s="5" t="n"/>
      <c r="I157" s="4" t="n">
        <v>136</v>
      </c>
      <c r="J157" s="6">
        <f>H157*F157</f>
        <v/>
      </c>
      <c r="K157" s="6">
        <f>J157-I157</f>
        <v/>
      </c>
      <c r="L157" s="7">
        <f>IF(I157=0,"",K157/I157)</f>
        <v/>
      </c>
      <c r="M157" s="6">
        <f>IF(ABS(L157)&lt;0.02," 合理",IF(ABS(L157)&lt;0.05," 关注"," 复查"))</f>
        <v/>
      </c>
    </row>
    <row r="158">
      <c r="A158" t="n">
        <v>157</v>
      </c>
      <c r="B158" t="inlineStr">
        <is>
          <t>五孔防溅插座(带开关)</t>
        </is>
      </c>
      <c r="C158" t="inlineStr">
        <is>
          <t>甲供</t>
        </is>
      </c>
      <c r="D158" t="inlineStr">
        <is>
          <t>个</t>
        </is>
      </c>
      <c r="E158" t="inlineStr">
        <is>
          <t>D2</t>
        </is>
      </c>
      <c r="F158" t="n">
        <v>15</v>
      </c>
      <c r="G158" s="4" t="n">
        <v>4</v>
      </c>
      <c r="H158" s="5" t="n"/>
      <c r="I158" s="4" t="n">
        <v>60</v>
      </c>
      <c r="J158" s="6">
        <f>H158*F158</f>
        <v/>
      </c>
      <c r="K158" s="6">
        <f>J158-I158</f>
        <v/>
      </c>
      <c r="L158" s="7">
        <f>IF(I158=0,"",K158/I158)</f>
        <v/>
      </c>
      <c r="M158" s="6">
        <f>IF(ABS(L158)&lt;0.02," 合理",IF(ABS(L158)&lt;0.05," 关注"," 复查"))</f>
        <v/>
      </c>
    </row>
    <row r="159">
      <c r="A159" t="n">
        <v>158</v>
      </c>
      <c r="B159" t="inlineStr">
        <is>
          <t>五孔防溅插座(带开关)</t>
        </is>
      </c>
      <c r="C159" t="inlineStr">
        <is>
          <t>甲供</t>
        </is>
      </c>
      <c r="D159" t="inlineStr">
        <is>
          <t>个</t>
        </is>
      </c>
      <c r="E159" t="inlineStr">
        <is>
          <t>D3</t>
        </is>
      </c>
      <c r="F159" t="n">
        <v>2</v>
      </c>
      <c r="G159" s="4" t="n">
        <v>4</v>
      </c>
      <c r="H159" s="5" t="n"/>
      <c r="I159" s="4" t="n">
        <v>8</v>
      </c>
      <c r="J159" s="6">
        <f>H159*F159</f>
        <v/>
      </c>
      <c r="K159" s="6">
        <f>J159-I159</f>
        <v/>
      </c>
      <c r="L159" s="7">
        <f>IF(I159=0,"",K159/I159)</f>
        <v/>
      </c>
      <c r="M159" s="6">
        <f>IF(ABS(L159)&lt;0.02," 合理",IF(ABS(L159)&lt;0.05," 关注"," 复查"))</f>
        <v/>
      </c>
    </row>
    <row r="160">
      <c r="A160" t="n">
        <v>159</v>
      </c>
      <c r="B160" t="inlineStr">
        <is>
          <t>五孔防溅插座(带开关)</t>
        </is>
      </c>
      <c r="C160" t="inlineStr">
        <is>
          <t>甲供</t>
        </is>
      </c>
      <c r="D160" t="inlineStr">
        <is>
          <t>个</t>
        </is>
      </c>
      <c r="E160" t="inlineStr">
        <is>
          <t>D4</t>
        </is>
      </c>
      <c r="F160" t="n">
        <v>2</v>
      </c>
      <c r="G160" s="4" t="n">
        <v>4</v>
      </c>
      <c r="H160" s="5" t="n"/>
      <c r="I160" s="4" t="n">
        <v>8</v>
      </c>
      <c r="J160" s="6">
        <f>H160*F160</f>
        <v/>
      </c>
      <c r="K160" s="6">
        <f>J160-I160</f>
        <v/>
      </c>
      <c r="L160" s="7">
        <f>IF(I160=0,"",K160/I160)</f>
        <v/>
      </c>
      <c r="M160" s="6">
        <f>IF(ABS(L160)&lt;0.02," 合理",IF(ABS(L160)&lt;0.05," 关注"," 复查"))</f>
        <v/>
      </c>
    </row>
    <row r="161">
      <c r="A161" t="n">
        <v>160</v>
      </c>
      <c r="B161" t="inlineStr">
        <is>
          <t>五孔防溅插座(带开关)</t>
        </is>
      </c>
      <c r="C161" t="inlineStr">
        <is>
          <t>甲供</t>
        </is>
      </c>
      <c r="D161" t="inlineStr">
        <is>
          <t>个</t>
        </is>
      </c>
      <c r="E161" t="inlineStr">
        <is>
          <t>E</t>
        </is>
      </c>
      <c r="F161" t="n">
        <v>28</v>
      </c>
      <c r="G161" s="4" t="n">
        <v>3</v>
      </c>
      <c r="H161" s="5" t="n"/>
      <c r="I161" s="4" t="n">
        <v>84</v>
      </c>
      <c r="J161" s="6">
        <f>H161*F161</f>
        <v/>
      </c>
      <c r="K161" s="6">
        <f>J161-I161</f>
        <v/>
      </c>
      <c r="L161" s="7">
        <f>IF(I161=0,"",K161/I161)</f>
        <v/>
      </c>
      <c r="M161" s="6">
        <f>IF(ABS(L161)&lt;0.02," 合理",IF(ABS(L161)&lt;0.05," 关注"," 复查"))</f>
        <v/>
      </c>
    </row>
    <row r="162">
      <c r="A162" t="n">
        <v>161</v>
      </c>
      <c r="B162" t="inlineStr">
        <is>
          <t>地面五孔插座</t>
        </is>
      </c>
      <c r="C162" t="inlineStr">
        <is>
          <t>甲供</t>
        </is>
      </c>
      <c r="D162" t="inlineStr">
        <is>
          <t>个</t>
        </is>
      </c>
      <c r="E162" t="inlineStr">
        <is>
          <t>A1</t>
        </is>
      </c>
      <c r="F162" t="n">
        <v>34</v>
      </c>
      <c r="G162" s="4" t="n">
        <v>1</v>
      </c>
      <c r="H162" s="5" t="n"/>
      <c r="I162" s="4" t="n">
        <v>34</v>
      </c>
      <c r="J162" s="6">
        <f>H162*F162</f>
        <v/>
      </c>
      <c r="K162" s="6">
        <f>J162-I162</f>
        <v/>
      </c>
      <c r="L162" s="7">
        <f>IF(I162=0,"",K162/I162)</f>
        <v/>
      </c>
      <c r="M162" s="6">
        <f>IF(ABS(L162)&lt;0.02," 合理",IF(ABS(L162)&lt;0.05," 关注"," 复查"))</f>
        <v/>
      </c>
    </row>
    <row r="163">
      <c r="A163" t="n">
        <v>162</v>
      </c>
      <c r="B163" t="inlineStr">
        <is>
          <t>地面五孔插座</t>
        </is>
      </c>
      <c r="C163" t="inlineStr">
        <is>
          <t>甲供</t>
        </is>
      </c>
      <c r="D163" t="inlineStr">
        <is>
          <t>个</t>
        </is>
      </c>
      <c r="E163" t="inlineStr">
        <is>
          <t>B1</t>
        </is>
      </c>
      <c r="F163" t="n">
        <v>68</v>
      </c>
      <c r="G163" s="4" t="n">
        <v>1</v>
      </c>
      <c r="H163" s="5" t="n"/>
      <c r="I163" s="4" t="n">
        <v>68</v>
      </c>
      <c r="J163" s="6">
        <f>H163*F163</f>
        <v/>
      </c>
      <c r="K163" s="6">
        <f>J163-I163</f>
        <v/>
      </c>
      <c r="L163" s="7">
        <f>IF(I163=0,"",K163/I163)</f>
        <v/>
      </c>
      <c r="M163" s="6">
        <f>IF(ABS(L163)&lt;0.02," 合理",IF(ABS(L163)&lt;0.05," 关注"," 复查"))</f>
        <v/>
      </c>
    </row>
    <row r="164">
      <c r="A164" t="n">
        <v>163</v>
      </c>
      <c r="B164" t="inlineStr">
        <is>
          <t>地面五孔插座</t>
        </is>
      </c>
      <c r="C164" t="inlineStr">
        <is>
          <t>甲供</t>
        </is>
      </c>
      <c r="D164" t="inlineStr">
        <is>
          <t>个</t>
        </is>
      </c>
      <c r="E164" t="inlineStr">
        <is>
          <t>B2</t>
        </is>
      </c>
      <c r="F164" t="n">
        <v>17</v>
      </c>
      <c r="G164" s="4" t="n">
        <v>1</v>
      </c>
      <c r="H164" s="5" t="n"/>
      <c r="I164" s="4" t="n">
        <v>17</v>
      </c>
      <c r="J164" s="6">
        <f>H164*F164</f>
        <v/>
      </c>
      <c r="K164" s="6">
        <f>J164-I164</f>
        <v/>
      </c>
      <c r="L164" s="7">
        <f>IF(I164=0,"",K164/I164)</f>
        <v/>
      </c>
      <c r="M164" s="6">
        <f>IF(ABS(L164)&lt;0.02," 合理",IF(ABS(L164)&lt;0.05," 关注"," 复查"))</f>
        <v/>
      </c>
    </row>
    <row r="165">
      <c r="A165" t="n">
        <v>164</v>
      </c>
      <c r="B165" t="inlineStr">
        <is>
          <t>地面五孔插座</t>
        </is>
      </c>
      <c r="C165" t="inlineStr">
        <is>
          <t>甲供</t>
        </is>
      </c>
      <c r="D165" t="inlineStr">
        <is>
          <t>个</t>
        </is>
      </c>
      <c r="E165" t="inlineStr">
        <is>
          <t>C</t>
        </is>
      </c>
      <c r="F165" t="n">
        <v>17</v>
      </c>
      <c r="G165" s="4" t="n">
        <v>1</v>
      </c>
      <c r="H165" s="5" t="n"/>
      <c r="I165" s="4" t="n">
        <v>17</v>
      </c>
      <c r="J165" s="6">
        <f>H165*F165</f>
        <v/>
      </c>
      <c r="K165" s="6">
        <f>J165-I165</f>
        <v/>
      </c>
      <c r="L165" s="7">
        <f>IF(I165=0,"",K165/I165)</f>
        <v/>
      </c>
      <c r="M165" s="6">
        <f>IF(ABS(L165)&lt;0.02," 合理",IF(ABS(L165)&lt;0.05," 关注"," 复查"))</f>
        <v/>
      </c>
    </row>
    <row r="166">
      <c r="A166" t="n">
        <v>165</v>
      </c>
      <c r="B166" t="inlineStr">
        <is>
          <t>地面五孔插座</t>
        </is>
      </c>
      <c r="C166" t="inlineStr">
        <is>
          <t>甲供</t>
        </is>
      </c>
      <c r="D166" t="inlineStr">
        <is>
          <t>个</t>
        </is>
      </c>
      <c r="E166" t="inlineStr">
        <is>
          <t>D1</t>
        </is>
      </c>
      <c r="F166" t="n">
        <v>34</v>
      </c>
      <c r="G166" s="4" t="n">
        <v>1</v>
      </c>
      <c r="H166" s="5" t="n"/>
      <c r="I166" s="4" t="n">
        <v>34</v>
      </c>
      <c r="J166" s="6">
        <f>H166*F166</f>
        <v/>
      </c>
      <c r="K166" s="6">
        <f>J166-I166</f>
        <v/>
      </c>
      <c r="L166" s="7">
        <f>IF(I166=0,"",K166/I166)</f>
        <v/>
      </c>
      <c r="M166" s="6">
        <f>IF(ABS(L166)&lt;0.02," 合理",IF(ABS(L166)&lt;0.05," 关注"," 复查"))</f>
        <v/>
      </c>
    </row>
    <row r="167">
      <c r="A167" t="n">
        <v>166</v>
      </c>
      <c r="B167" t="inlineStr">
        <is>
          <t>地面五孔插座</t>
        </is>
      </c>
      <c r="C167" t="inlineStr">
        <is>
          <t>甲供</t>
        </is>
      </c>
      <c r="D167" t="inlineStr">
        <is>
          <t>个</t>
        </is>
      </c>
      <c r="E167" t="inlineStr">
        <is>
          <t>D2</t>
        </is>
      </c>
      <c r="F167" t="n">
        <v>15</v>
      </c>
      <c r="G167" s="4" t="n">
        <v>1</v>
      </c>
      <c r="H167" s="5" t="n"/>
      <c r="I167" s="4" t="n">
        <v>15</v>
      </c>
      <c r="J167" s="6">
        <f>H167*F167</f>
        <v/>
      </c>
      <c r="K167" s="6">
        <f>J167-I167</f>
        <v/>
      </c>
      <c r="L167" s="7">
        <f>IF(I167=0,"",K167/I167)</f>
        <v/>
      </c>
      <c r="M167" s="6">
        <f>IF(ABS(L167)&lt;0.02," 合理",IF(ABS(L167)&lt;0.05," 关注"," 复查"))</f>
        <v/>
      </c>
    </row>
    <row r="168">
      <c r="A168" t="n">
        <v>167</v>
      </c>
      <c r="B168" t="inlineStr">
        <is>
          <t>地面五孔插座</t>
        </is>
      </c>
      <c r="C168" t="inlineStr">
        <is>
          <t>甲供</t>
        </is>
      </c>
      <c r="D168" t="inlineStr">
        <is>
          <t>个</t>
        </is>
      </c>
      <c r="E168" t="inlineStr">
        <is>
          <t>D3</t>
        </is>
      </c>
      <c r="F168" t="n">
        <v>2</v>
      </c>
      <c r="G168" s="4" t="n">
        <v>1</v>
      </c>
      <c r="H168" s="5" t="n"/>
      <c r="I168" s="4" t="n">
        <v>2</v>
      </c>
      <c r="J168" s="6">
        <f>H168*F168</f>
        <v/>
      </c>
      <c r="K168" s="6">
        <f>J168-I168</f>
        <v/>
      </c>
      <c r="L168" s="7">
        <f>IF(I168=0,"",K168/I168)</f>
        <v/>
      </c>
      <c r="M168" s="6">
        <f>IF(ABS(L168)&lt;0.02," 合理",IF(ABS(L168)&lt;0.05," 关注"," 复查"))</f>
        <v/>
      </c>
    </row>
    <row r="169">
      <c r="A169" t="n">
        <v>168</v>
      </c>
      <c r="B169" t="inlineStr">
        <is>
          <t>地面五孔插座</t>
        </is>
      </c>
      <c r="C169" t="inlineStr">
        <is>
          <t>甲供</t>
        </is>
      </c>
      <c r="D169" t="inlineStr">
        <is>
          <t>个</t>
        </is>
      </c>
      <c r="E169" t="inlineStr">
        <is>
          <t>D4</t>
        </is>
      </c>
      <c r="F169" t="n">
        <v>2</v>
      </c>
      <c r="G169" s="4" t="n">
        <v>1</v>
      </c>
      <c r="H169" s="5" t="n"/>
      <c r="I169" s="4" t="n">
        <v>2</v>
      </c>
      <c r="J169" s="6">
        <f>H169*F169</f>
        <v/>
      </c>
      <c r="K169" s="6">
        <f>J169-I169</f>
        <v/>
      </c>
      <c r="L169" s="7">
        <f>IF(I169=0,"",K169/I169)</f>
        <v/>
      </c>
      <c r="M169" s="6">
        <f>IF(ABS(L169)&lt;0.02," 合理",IF(ABS(L169)&lt;0.05," 关注"," 复查"))</f>
        <v/>
      </c>
    </row>
    <row r="170">
      <c r="A170" t="n">
        <v>169</v>
      </c>
      <c r="B170" t="inlineStr">
        <is>
          <t>地面五孔插座</t>
        </is>
      </c>
      <c r="C170" t="inlineStr">
        <is>
          <t>甲供</t>
        </is>
      </c>
      <c r="D170" t="inlineStr">
        <is>
          <t>个</t>
        </is>
      </c>
      <c r="E170" t="inlineStr">
        <is>
          <t>E</t>
        </is>
      </c>
      <c r="F170" t="n">
        <v>28</v>
      </c>
      <c r="G170" s="4" t="n">
        <v>4</v>
      </c>
      <c r="H170" s="5" t="n"/>
      <c r="I170" s="4" t="n">
        <v>112</v>
      </c>
      <c r="J170" s="6">
        <f>H170*F170</f>
        <v/>
      </c>
      <c r="K170" s="6">
        <f>J170-I170</f>
        <v/>
      </c>
      <c r="L170" s="7">
        <f>IF(I170=0,"",K170/I170)</f>
        <v/>
      </c>
      <c r="M170" s="6">
        <f>IF(ABS(L170)&lt;0.02," 合理",IF(ABS(L170)&lt;0.05," 关注"," 复查"))</f>
        <v/>
      </c>
    </row>
    <row r="171">
      <c r="A171" t="n">
        <v>170</v>
      </c>
      <c r="B171" t="inlineStr">
        <is>
          <t>五孔插座带USB</t>
        </is>
      </c>
      <c r="C171" t="inlineStr">
        <is>
          <t>甲供</t>
        </is>
      </c>
      <c r="D171" t="inlineStr">
        <is>
          <t>个</t>
        </is>
      </c>
      <c r="E171" t="inlineStr">
        <is>
          <t>A1</t>
        </is>
      </c>
      <c r="F171" t="n">
        <v>34</v>
      </c>
      <c r="G171" s="4" t="n">
        <v>1</v>
      </c>
      <c r="H171" s="5" t="n"/>
      <c r="I171" s="4" t="n">
        <v>34</v>
      </c>
      <c r="J171" s="6">
        <f>H171*F171</f>
        <v/>
      </c>
      <c r="K171" s="6">
        <f>J171-I171</f>
        <v/>
      </c>
      <c r="L171" s="7">
        <f>IF(I171=0,"",K171/I171)</f>
        <v/>
      </c>
      <c r="M171" s="6">
        <f>IF(ABS(L171)&lt;0.02," 合理",IF(ABS(L171)&lt;0.05," 关注"," 复查"))</f>
        <v/>
      </c>
    </row>
    <row r="172">
      <c r="A172" t="n">
        <v>171</v>
      </c>
      <c r="B172" t="inlineStr">
        <is>
          <t>五孔插座带USB</t>
        </is>
      </c>
      <c r="C172" t="inlineStr">
        <is>
          <t>甲供</t>
        </is>
      </c>
      <c r="D172" t="inlineStr">
        <is>
          <t>个</t>
        </is>
      </c>
      <c r="E172" t="inlineStr">
        <is>
          <t>B1</t>
        </is>
      </c>
      <c r="F172" t="n">
        <v>68</v>
      </c>
      <c r="G172" s="4" t="n">
        <v>1</v>
      </c>
      <c r="H172" s="5" t="n"/>
      <c r="I172" s="4" t="n">
        <v>68</v>
      </c>
      <c r="J172" s="6">
        <f>H172*F172</f>
        <v/>
      </c>
      <c r="K172" s="6">
        <f>J172-I172</f>
        <v/>
      </c>
      <c r="L172" s="7">
        <f>IF(I172=0,"",K172/I172)</f>
        <v/>
      </c>
      <c r="M172" s="6">
        <f>IF(ABS(L172)&lt;0.02," 合理",IF(ABS(L172)&lt;0.05," 关注"," 复查"))</f>
        <v/>
      </c>
    </row>
    <row r="173">
      <c r="A173" t="n">
        <v>172</v>
      </c>
      <c r="B173" t="inlineStr">
        <is>
          <t>五孔插座带USB</t>
        </is>
      </c>
      <c r="C173" t="inlineStr">
        <is>
          <t>甲供</t>
        </is>
      </c>
      <c r="D173" t="inlineStr">
        <is>
          <t>个</t>
        </is>
      </c>
      <c r="E173" t="inlineStr">
        <is>
          <t>B2</t>
        </is>
      </c>
      <c r="F173" t="n">
        <v>17</v>
      </c>
      <c r="G173" s="4" t="n">
        <v>1</v>
      </c>
      <c r="H173" s="5" t="n"/>
      <c r="I173" s="4" t="n">
        <v>17</v>
      </c>
      <c r="J173" s="6">
        <f>H173*F173</f>
        <v/>
      </c>
      <c r="K173" s="6">
        <f>J173-I173</f>
        <v/>
      </c>
      <c r="L173" s="7">
        <f>IF(I173=0,"",K173/I173)</f>
        <v/>
      </c>
      <c r="M173" s="6">
        <f>IF(ABS(L173)&lt;0.02," 合理",IF(ABS(L173)&lt;0.05," 关注"," 复查"))</f>
        <v/>
      </c>
    </row>
    <row r="174">
      <c r="A174" t="n">
        <v>173</v>
      </c>
      <c r="B174" t="inlineStr">
        <is>
          <t>五孔插座带USB</t>
        </is>
      </c>
      <c r="C174" t="inlineStr">
        <is>
          <t>甲供</t>
        </is>
      </c>
      <c r="D174" t="inlineStr">
        <is>
          <t>个</t>
        </is>
      </c>
      <c r="E174" t="inlineStr">
        <is>
          <t>C</t>
        </is>
      </c>
      <c r="F174" t="n">
        <v>17</v>
      </c>
      <c r="G174" s="4" t="n">
        <v>1</v>
      </c>
      <c r="H174" s="5" t="n"/>
      <c r="I174" s="4" t="n">
        <v>17</v>
      </c>
      <c r="J174" s="6">
        <f>H174*F174</f>
        <v/>
      </c>
      <c r="K174" s="6">
        <f>J174-I174</f>
        <v/>
      </c>
      <c r="L174" s="7">
        <f>IF(I174=0,"",K174/I174)</f>
        <v/>
      </c>
      <c r="M174" s="6">
        <f>IF(ABS(L174)&lt;0.02," 合理",IF(ABS(L174)&lt;0.05," 关注"," 复查"))</f>
        <v/>
      </c>
    </row>
    <row r="175">
      <c r="A175" t="n">
        <v>174</v>
      </c>
      <c r="B175" t="inlineStr">
        <is>
          <t>五孔插座带USB</t>
        </is>
      </c>
      <c r="C175" t="inlineStr">
        <is>
          <t>甲供</t>
        </is>
      </c>
      <c r="D175" t="inlineStr">
        <is>
          <t>个</t>
        </is>
      </c>
      <c r="E175" t="inlineStr">
        <is>
          <t>D1</t>
        </is>
      </c>
      <c r="F175" t="n">
        <v>34</v>
      </c>
      <c r="G175" s="4" t="n">
        <v>1</v>
      </c>
      <c r="H175" s="5" t="n"/>
      <c r="I175" s="4" t="n">
        <v>34</v>
      </c>
      <c r="J175" s="6">
        <f>H175*F175</f>
        <v/>
      </c>
      <c r="K175" s="6">
        <f>J175-I175</f>
        <v/>
      </c>
      <c r="L175" s="7">
        <f>IF(I175=0,"",K175/I175)</f>
        <v/>
      </c>
      <c r="M175" s="6">
        <f>IF(ABS(L175)&lt;0.02," 合理",IF(ABS(L175)&lt;0.05," 关注"," 复查"))</f>
        <v/>
      </c>
    </row>
    <row r="176">
      <c r="A176" t="n">
        <v>175</v>
      </c>
      <c r="B176" t="inlineStr">
        <is>
          <t>五孔插座带USB</t>
        </is>
      </c>
      <c r="C176" t="inlineStr">
        <is>
          <t>甲供</t>
        </is>
      </c>
      <c r="D176" t="inlineStr">
        <is>
          <t>个</t>
        </is>
      </c>
      <c r="E176" t="inlineStr">
        <is>
          <t>D2</t>
        </is>
      </c>
      <c r="F176" t="n">
        <v>15</v>
      </c>
      <c r="G176" s="4" t="n">
        <v>1</v>
      </c>
      <c r="H176" s="5" t="n"/>
      <c r="I176" s="4" t="n">
        <v>15</v>
      </c>
      <c r="J176" s="6">
        <f>H176*F176</f>
        <v/>
      </c>
      <c r="K176" s="6">
        <f>J176-I176</f>
        <v/>
      </c>
      <c r="L176" s="7">
        <f>IF(I176=0,"",K176/I176)</f>
        <v/>
      </c>
      <c r="M176" s="6">
        <f>IF(ABS(L176)&lt;0.02," 合理",IF(ABS(L176)&lt;0.05," 关注"," 复查"))</f>
        <v/>
      </c>
    </row>
    <row r="177">
      <c r="A177" t="n">
        <v>176</v>
      </c>
      <c r="B177" t="inlineStr">
        <is>
          <t>五孔插座带USB</t>
        </is>
      </c>
      <c r="C177" t="inlineStr">
        <is>
          <t>甲供</t>
        </is>
      </c>
      <c r="D177" t="inlineStr">
        <is>
          <t>个</t>
        </is>
      </c>
      <c r="E177" t="inlineStr">
        <is>
          <t>D3</t>
        </is>
      </c>
      <c r="F177" t="n">
        <v>2</v>
      </c>
      <c r="G177" s="4" t="n">
        <v>1</v>
      </c>
      <c r="H177" s="5" t="n"/>
      <c r="I177" s="4" t="n">
        <v>2</v>
      </c>
      <c r="J177" s="6">
        <f>H177*F177</f>
        <v/>
      </c>
      <c r="K177" s="6">
        <f>J177-I177</f>
        <v/>
      </c>
      <c r="L177" s="7">
        <f>IF(I177=0,"",K177/I177)</f>
        <v/>
      </c>
      <c r="M177" s="6">
        <f>IF(ABS(L177)&lt;0.02," 合理",IF(ABS(L177)&lt;0.05," 关注"," 复查"))</f>
        <v/>
      </c>
    </row>
    <row r="178">
      <c r="A178" t="n">
        <v>177</v>
      </c>
      <c r="B178" t="inlineStr">
        <is>
          <t>五孔插座带USB</t>
        </is>
      </c>
      <c r="C178" t="inlineStr">
        <is>
          <t>甲供</t>
        </is>
      </c>
      <c r="D178" t="inlineStr">
        <is>
          <t>个</t>
        </is>
      </c>
      <c r="E178" t="inlineStr">
        <is>
          <t>D4</t>
        </is>
      </c>
      <c r="F178" t="n">
        <v>2</v>
      </c>
      <c r="G178" s="4" t="n">
        <v>1</v>
      </c>
      <c r="H178" s="5" t="n"/>
      <c r="I178" s="4" t="n">
        <v>2</v>
      </c>
      <c r="J178" s="6">
        <f>H178*F178</f>
        <v/>
      </c>
      <c r="K178" s="6">
        <f>J178-I178</f>
        <v/>
      </c>
      <c r="L178" s="7">
        <f>IF(I178=0,"",K178/I178)</f>
        <v/>
      </c>
      <c r="M178" s="6">
        <f>IF(ABS(L178)&lt;0.02," 合理",IF(ABS(L178)&lt;0.05," 关注"," 复查"))</f>
        <v/>
      </c>
    </row>
    <row r="179">
      <c r="A179" t="n">
        <v>178</v>
      </c>
      <c r="B179" t="inlineStr">
        <is>
          <t>五孔插座带USB</t>
        </is>
      </c>
      <c r="C179" t="inlineStr">
        <is>
          <t>甲供</t>
        </is>
      </c>
      <c r="D179" t="inlineStr">
        <is>
          <t>个</t>
        </is>
      </c>
      <c r="E179" t="inlineStr">
        <is>
          <t>E</t>
        </is>
      </c>
      <c r="F179" t="n">
        <v>28</v>
      </c>
      <c r="G179" s="4" t="n">
        <v>1</v>
      </c>
      <c r="H179" s="5" t="n"/>
      <c r="I179" s="4" t="n">
        <v>28</v>
      </c>
      <c r="J179" s="6">
        <f>H179*F179</f>
        <v/>
      </c>
      <c r="K179" s="6">
        <f>J179-I179</f>
        <v/>
      </c>
      <c r="L179" s="7">
        <f>IF(I179=0,"",K179/I179)</f>
        <v/>
      </c>
      <c r="M179" s="6">
        <f>IF(ABS(L179)&lt;0.02," 合理",IF(ABS(L179)&lt;0.05," 关注"," 复查"))</f>
        <v/>
      </c>
    </row>
    <row r="180">
      <c r="A180" t="n">
        <v>179</v>
      </c>
      <c r="B180" t="inlineStr">
        <is>
          <t>86型插座防溅盒</t>
        </is>
      </c>
      <c r="C180" t="inlineStr">
        <is>
          <t>甲供</t>
        </is>
      </c>
      <c r="D180" t="inlineStr">
        <is>
          <t>个</t>
        </is>
      </c>
      <c r="E180" t="inlineStr">
        <is>
          <t>A1</t>
        </is>
      </c>
      <c r="F180" t="n">
        <v>34</v>
      </c>
      <c r="G180" s="4" t="n">
        <v>19</v>
      </c>
      <c r="H180" s="5" t="n"/>
      <c r="I180" s="4" t="n">
        <v>646</v>
      </c>
      <c r="J180" s="6">
        <f>H180*F180</f>
        <v/>
      </c>
      <c r="K180" s="6">
        <f>J180-I180</f>
        <v/>
      </c>
      <c r="L180" s="7">
        <f>IF(I180=0,"",K180/I180)</f>
        <v/>
      </c>
      <c r="M180" s="6">
        <f>IF(ABS(L180)&lt;0.02," 合理",IF(ABS(L180)&lt;0.05," 关注"," 复查"))</f>
        <v/>
      </c>
    </row>
    <row r="181">
      <c r="A181" t="n">
        <v>180</v>
      </c>
      <c r="B181" t="inlineStr">
        <is>
          <t>86型插座防溅盒</t>
        </is>
      </c>
      <c r="C181" t="inlineStr">
        <is>
          <t>甲供</t>
        </is>
      </c>
      <c r="D181" t="inlineStr">
        <is>
          <t>个</t>
        </is>
      </c>
      <c r="E181" t="inlineStr">
        <is>
          <t>B1</t>
        </is>
      </c>
      <c r="F181" t="n">
        <v>68</v>
      </c>
      <c r="G181" s="4" t="n">
        <v>23</v>
      </c>
      <c r="H181" s="5" t="n"/>
      <c r="I181" s="4" t="n">
        <v>1564</v>
      </c>
      <c r="J181" s="6">
        <f>H181*F181</f>
        <v/>
      </c>
      <c r="K181" s="6">
        <f>J181-I181</f>
        <v/>
      </c>
      <c r="L181" s="7">
        <f>IF(I181=0,"",K181/I181)</f>
        <v/>
      </c>
      <c r="M181" s="6">
        <f>IF(ABS(L181)&lt;0.02," 合理",IF(ABS(L181)&lt;0.05," 关注"," 复查"))</f>
        <v/>
      </c>
    </row>
    <row r="182">
      <c r="A182" t="n">
        <v>181</v>
      </c>
      <c r="B182" t="inlineStr">
        <is>
          <t>86型插座防溅盒</t>
        </is>
      </c>
      <c r="C182" t="inlineStr">
        <is>
          <t>甲供</t>
        </is>
      </c>
      <c r="D182" t="inlineStr">
        <is>
          <t>个</t>
        </is>
      </c>
      <c r="E182" t="inlineStr">
        <is>
          <t>B2</t>
        </is>
      </c>
      <c r="F182" t="n">
        <v>17</v>
      </c>
      <c r="G182" s="4" t="n">
        <v>23</v>
      </c>
      <c r="H182" s="5" t="n"/>
      <c r="I182" s="4" t="n">
        <v>391</v>
      </c>
      <c r="J182" s="6">
        <f>H182*F182</f>
        <v/>
      </c>
      <c r="K182" s="6">
        <f>J182-I182</f>
        <v/>
      </c>
      <c r="L182" s="7">
        <f>IF(I182=0,"",K182/I182)</f>
        <v/>
      </c>
      <c r="M182" s="6">
        <f>IF(ABS(L182)&lt;0.02," 合理",IF(ABS(L182)&lt;0.05," 关注"," 复查"))</f>
        <v/>
      </c>
    </row>
    <row r="183">
      <c r="A183" t="n">
        <v>182</v>
      </c>
      <c r="B183" t="inlineStr">
        <is>
          <t>86型插座防溅盒</t>
        </is>
      </c>
      <c r="C183" t="inlineStr">
        <is>
          <t>甲供</t>
        </is>
      </c>
      <c r="D183" t="inlineStr">
        <is>
          <t>个</t>
        </is>
      </c>
      <c r="E183" t="inlineStr">
        <is>
          <t>C</t>
        </is>
      </c>
      <c r="F183" t="n">
        <v>17</v>
      </c>
      <c r="G183" s="4" t="n">
        <v>21</v>
      </c>
      <c r="H183" s="5" t="n"/>
      <c r="I183" s="4" t="n">
        <v>357</v>
      </c>
      <c r="J183" s="6">
        <f>H183*F183</f>
        <v/>
      </c>
      <c r="K183" s="6">
        <f>J183-I183</f>
        <v/>
      </c>
      <c r="L183" s="7">
        <f>IF(I183=0,"",K183/I183)</f>
        <v/>
      </c>
      <c r="M183" s="6">
        <f>IF(ABS(L183)&lt;0.02," 合理",IF(ABS(L183)&lt;0.05," 关注"," 复查"))</f>
        <v/>
      </c>
    </row>
    <row r="184">
      <c r="A184" t="n">
        <v>183</v>
      </c>
      <c r="B184" t="inlineStr">
        <is>
          <t>86型插座防溅盒</t>
        </is>
      </c>
      <c r="C184" t="inlineStr">
        <is>
          <t>甲供</t>
        </is>
      </c>
      <c r="D184" t="inlineStr">
        <is>
          <t>个</t>
        </is>
      </c>
      <c r="E184" t="inlineStr">
        <is>
          <t>D1</t>
        </is>
      </c>
      <c r="F184" t="n">
        <v>34</v>
      </c>
      <c r="G184" s="4" t="n">
        <v>19</v>
      </c>
      <c r="H184" s="5" t="n"/>
      <c r="I184" s="4" t="n">
        <v>646</v>
      </c>
      <c r="J184" s="6">
        <f>H184*F184</f>
        <v/>
      </c>
      <c r="K184" s="6">
        <f>J184-I184</f>
        <v/>
      </c>
      <c r="L184" s="7">
        <f>IF(I184=0,"",K184/I184)</f>
        <v/>
      </c>
      <c r="M184" s="6">
        <f>IF(ABS(L184)&lt;0.02," 合理",IF(ABS(L184)&lt;0.05," 关注"," 复查"))</f>
        <v/>
      </c>
    </row>
    <row r="185">
      <c r="A185" t="n">
        <v>184</v>
      </c>
      <c r="B185" t="inlineStr">
        <is>
          <t>86型插座防溅盒</t>
        </is>
      </c>
      <c r="C185" t="inlineStr">
        <is>
          <t>甲供</t>
        </is>
      </c>
      <c r="D185" t="inlineStr">
        <is>
          <t>个</t>
        </is>
      </c>
      <c r="E185" t="inlineStr">
        <is>
          <t>D2</t>
        </is>
      </c>
      <c r="F185" t="n">
        <v>15</v>
      </c>
      <c r="G185" s="4" t="n">
        <v>19</v>
      </c>
      <c r="H185" s="5" t="n"/>
      <c r="I185" s="4" t="n">
        <v>285</v>
      </c>
      <c r="J185" s="6">
        <f>H185*F185</f>
        <v/>
      </c>
      <c r="K185" s="6">
        <f>J185-I185</f>
        <v/>
      </c>
      <c r="L185" s="7">
        <f>IF(I185=0,"",K185/I185)</f>
        <v/>
      </c>
      <c r="M185" s="6">
        <f>IF(ABS(L185)&lt;0.02," 合理",IF(ABS(L185)&lt;0.05," 关注"," 复查"))</f>
        <v/>
      </c>
    </row>
    <row r="186">
      <c r="A186" t="n">
        <v>185</v>
      </c>
      <c r="B186" t="inlineStr">
        <is>
          <t>86型插座防溅盒</t>
        </is>
      </c>
      <c r="C186" t="inlineStr">
        <is>
          <t>甲供</t>
        </is>
      </c>
      <c r="D186" t="inlineStr">
        <is>
          <t>个</t>
        </is>
      </c>
      <c r="E186" t="inlineStr">
        <is>
          <t>D3</t>
        </is>
      </c>
      <c r="F186" t="n">
        <v>2</v>
      </c>
      <c r="G186" s="4" t="n">
        <v>19</v>
      </c>
      <c r="H186" s="5" t="n"/>
      <c r="I186" s="4" t="n">
        <v>38</v>
      </c>
      <c r="J186" s="6">
        <f>H186*F186</f>
        <v/>
      </c>
      <c r="K186" s="6">
        <f>J186-I186</f>
        <v/>
      </c>
      <c r="L186" s="7">
        <f>IF(I186=0,"",K186/I186)</f>
        <v/>
      </c>
      <c r="M186" s="6">
        <f>IF(ABS(L186)&lt;0.02," 合理",IF(ABS(L186)&lt;0.05," 关注"," 复查"))</f>
        <v/>
      </c>
    </row>
    <row r="187">
      <c r="A187" t="n">
        <v>186</v>
      </c>
      <c r="B187" t="inlineStr">
        <is>
          <t>86型插座防溅盒</t>
        </is>
      </c>
      <c r="C187" t="inlineStr">
        <is>
          <t>甲供</t>
        </is>
      </c>
      <c r="D187" t="inlineStr">
        <is>
          <t>个</t>
        </is>
      </c>
      <c r="E187" t="inlineStr">
        <is>
          <t>D4</t>
        </is>
      </c>
      <c r="F187" t="n">
        <v>2</v>
      </c>
      <c r="G187" s="4" t="n">
        <v>19</v>
      </c>
      <c r="H187" s="5" t="n"/>
      <c r="I187" s="4" t="n">
        <v>38</v>
      </c>
      <c r="J187" s="6">
        <f>H187*F187</f>
        <v/>
      </c>
      <c r="K187" s="6">
        <f>J187-I187</f>
        <v/>
      </c>
      <c r="L187" s="7">
        <f>IF(I187=0,"",K187/I187)</f>
        <v/>
      </c>
      <c r="M187" s="6">
        <f>IF(ABS(L187)&lt;0.02," 合理",IF(ABS(L187)&lt;0.05," 关注"," 复查"))</f>
        <v/>
      </c>
    </row>
    <row r="188">
      <c r="A188" t="n">
        <v>187</v>
      </c>
      <c r="B188" t="inlineStr">
        <is>
          <t>86型插座防溅盒</t>
        </is>
      </c>
      <c r="C188" t="inlineStr">
        <is>
          <t>甲供</t>
        </is>
      </c>
      <c r="D188" t="inlineStr">
        <is>
          <t>个</t>
        </is>
      </c>
      <c r="E188" t="inlineStr">
        <is>
          <t>E</t>
        </is>
      </c>
      <c r="F188" t="n">
        <v>28</v>
      </c>
      <c r="G188" s="4" t="n">
        <v>17</v>
      </c>
      <c r="H188" s="5" t="n"/>
      <c r="I188" s="4" t="n">
        <v>476</v>
      </c>
      <c r="J188" s="6">
        <f>H188*F188</f>
        <v/>
      </c>
      <c r="K188" s="6">
        <f>J188-I188</f>
        <v/>
      </c>
      <c r="L188" s="7">
        <f>IF(I188=0,"",K188/I188)</f>
        <v/>
      </c>
      <c r="M188" s="6">
        <f>IF(ABS(L188)&lt;0.02," 合理",IF(ABS(L188)&lt;0.05," 关注"," 复查"))</f>
        <v/>
      </c>
    </row>
    <row r="189">
      <c r="A189" t="n">
        <v>188</v>
      </c>
      <c r="B189" t="inlineStr">
        <is>
          <t>感应夜灯</t>
        </is>
      </c>
      <c r="C189" t="inlineStr">
        <is>
          <t>甲供</t>
        </is>
      </c>
      <c r="D189" t="inlineStr">
        <is>
          <t>个</t>
        </is>
      </c>
      <c r="E189" t="inlineStr">
        <is>
          <t>A1</t>
        </is>
      </c>
      <c r="F189" t="n">
        <v>34</v>
      </c>
      <c r="G189" s="4" t="n">
        <v>2</v>
      </c>
      <c r="H189" s="5" t="n"/>
      <c r="I189" s="4" t="n">
        <v>68</v>
      </c>
      <c r="J189" s="6">
        <f>H189*F189</f>
        <v/>
      </c>
      <c r="K189" s="6">
        <f>J189-I189</f>
        <v/>
      </c>
      <c r="L189" s="7">
        <f>IF(I189=0,"",K189/I189)</f>
        <v/>
      </c>
      <c r="M189" s="6">
        <f>IF(ABS(L189)&lt;0.02," 合理",IF(ABS(L189)&lt;0.05," 关注"," 复查"))</f>
        <v/>
      </c>
    </row>
    <row r="190">
      <c r="A190" t="n">
        <v>189</v>
      </c>
      <c r="B190" t="inlineStr">
        <is>
          <t>感应夜灯</t>
        </is>
      </c>
      <c r="C190" t="inlineStr">
        <is>
          <t>甲供</t>
        </is>
      </c>
      <c r="D190" t="inlineStr">
        <is>
          <t>个</t>
        </is>
      </c>
      <c r="E190" t="inlineStr">
        <is>
          <t>B1</t>
        </is>
      </c>
      <c r="F190" t="n">
        <v>68</v>
      </c>
      <c r="G190" s="4" t="n">
        <v>3</v>
      </c>
      <c r="H190" s="5" t="n"/>
      <c r="I190" s="4" t="n">
        <v>204</v>
      </c>
      <c r="J190" s="6">
        <f>H190*F190</f>
        <v/>
      </c>
      <c r="K190" s="6">
        <f>J190-I190</f>
        <v/>
      </c>
      <c r="L190" s="7">
        <f>IF(I190=0,"",K190/I190)</f>
        <v/>
      </c>
      <c r="M190" s="6">
        <f>IF(ABS(L190)&lt;0.02," 合理",IF(ABS(L190)&lt;0.05," 关注"," 复查"))</f>
        <v/>
      </c>
    </row>
    <row r="191">
      <c r="A191" t="n">
        <v>190</v>
      </c>
      <c r="B191" t="inlineStr">
        <is>
          <t>感应夜灯</t>
        </is>
      </c>
      <c r="C191" t="inlineStr">
        <is>
          <t>甲供</t>
        </is>
      </c>
      <c r="D191" t="inlineStr">
        <is>
          <t>个</t>
        </is>
      </c>
      <c r="E191" t="inlineStr">
        <is>
          <t>B2</t>
        </is>
      </c>
      <c r="F191" t="n">
        <v>17</v>
      </c>
      <c r="G191" s="4" t="n">
        <v>3</v>
      </c>
      <c r="H191" s="5" t="n"/>
      <c r="I191" s="4" t="n">
        <v>51</v>
      </c>
      <c r="J191" s="6">
        <f>H191*F191</f>
        <v/>
      </c>
      <c r="K191" s="6">
        <f>J191-I191</f>
        <v/>
      </c>
      <c r="L191" s="7">
        <f>IF(I191=0,"",K191/I191)</f>
        <v/>
      </c>
      <c r="M191" s="6">
        <f>IF(ABS(L191)&lt;0.02," 合理",IF(ABS(L191)&lt;0.05," 关注"," 复查"))</f>
        <v/>
      </c>
    </row>
    <row r="192">
      <c r="A192" t="n">
        <v>191</v>
      </c>
      <c r="B192" t="inlineStr">
        <is>
          <t>感应夜灯</t>
        </is>
      </c>
      <c r="C192" t="inlineStr">
        <is>
          <t>甲供</t>
        </is>
      </c>
      <c r="D192" t="inlineStr">
        <is>
          <t>个</t>
        </is>
      </c>
      <c r="E192" t="inlineStr">
        <is>
          <t>C</t>
        </is>
      </c>
      <c r="F192" t="n">
        <v>17</v>
      </c>
      <c r="G192" s="4" t="n">
        <v>4</v>
      </c>
      <c r="H192" s="5" t="n"/>
      <c r="I192" s="4" t="n">
        <v>68</v>
      </c>
      <c r="J192" s="6">
        <f>H192*F192</f>
        <v/>
      </c>
      <c r="K192" s="6">
        <f>J192-I192</f>
        <v/>
      </c>
      <c r="L192" s="7">
        <f>IF(I192=0,"",K192/I192)</f>
        <v/>
      </c>
      <c r="M192" s="6">
        <f>IF(ABS(L192)&lt;0.02," 合理",IF(ABS(L192)&lt;0.05," 关注"," 复查"))</f>
        <v/>
      </c>
    </row>
    <row r="193">
      <c r="A193" t="n">
        <v>192</v>
      </c>
      <c r="B193" t="inlineStr">
        <is>
          <t>感应夜灯</t>
        </is>
      </c>
      <c r="C193" t="inlineStr">
        <is>
          <t>甲供</t>
        </is>
      </c>
      <c r="D193" t="inlineStr">
        <is>
          <t>个</t>
        </is>
      </c>
      <c r="E193" t="inlineStr">
        <is>
          <t>D1</t>
        </is>
      </c>
      <c r="F193" t="n">
        <v>34</v>
      </c>
      <c r="G193" s="4" t="n">
        <v>3</v>
      </c>
      <c r="H193" s="5" t="n"/>
      <c r="I193" s="4" t="n">
        <v>102</v>
      </c>
      <c r="J193" s="6">
        <f>H193*F193</f>
        <v/>
      </c>
      <c r="K193" s="6">
        <f>J193-I193</f>
        <v/>
      </c>
      <c r="L193" s="7">
        <f>IF(I193=0,"",K193/I193)</f>
        <v/>
      </c>
      <c r="M193" s="6">
        <f>IF(ABS(L193)&lt;0.02," 合理",IF(ABS(L193)&lt;0.05," 关注"," 复查"))</f>
        <v/>
      </c>
    </row>
    <row r="194">
      <c r="A194" t="n">
        <v>193</v>
      </c>
      <c r="B194" t="inlineStr">
        <is>
          <t>感应夜灯</t>
        </is>
      </c>
      <c r="C194" t="inlineStr">
        <is>
          <t>甲供</t>
        </is>
      </c>
      <c r="D194" t="inlineStr">
        <is>
          <t>个</t>
        </is>
      </c>
      <c r="E194" t="inlineStr">
        <is>
          <t>D2</t>
        </is>
      </c>
      <c r="F194" t="n">
        <v>15</v>
      </c>
      <c r="G194" s="4" t="n">
        <v>3</v>
      </c>
      <c r="H194" s="5" t="n"/>
      <c r="I194" s="4" t="n">
        <v>45</v>
      </c>
      <c r="J194" s="6">
        <f>H194*F194</f>
        <v/>
      </c>
      <c r="K194" s="6">
        <f>J194-I194</f>
        <v/>
      </c>
      <c r="L194" s="7">
        <f>IF(I194=0,"",K194/I194)</f>
        <v/>
      </c>
      <c r="M194" s="6">
        <f>IF(ABS(L194)&lt;0.02," 合理",IF(ABS(L194)&lt;0.05," 关注"," 复查"))</f>
        <v/>
      </c>
    </row>
    <row r="195">
      <c r="A195" t="n">
        <v>194</v>
      </c>
      <c r="B195" t="inlineStr">
        <is>
          <t>感应夜灯</t>
        </is>
      </c>
      <c r="C195" t="inlineStr">
        <is>
          <t>甲供</t>
        </is>
      </c>
      <c r="D195" t="inlineStr">
        <is>
          <t>个</t>
        </is>
      </c>
      <c r="E195" t="inlineStr">
        <is>
          <t>D3</t>
        </is>
      </c>
      <c r="F195" t="n">
        <v>2</v>
      </c>
      <c r="G195" s="4" t="n">
        <v>3</v>
      </c>
      <c r="H195" s="5" t="n"/>
      <c r="I195" s="4" t="n">
        <v>6</v>
      </c>
      <c r="J195" s="6">
        <f>H195*F195</f>
        <v/>
      </c>
      <c r="K195" s="6">
        <f>J195-I195</f>
        <v/>
      </c>
      <c r="L195" s="7">
        <f>IF(I195=0,"",K195/I195)</f>
        <v/>
      </c>
      <c r="M195" s="6">
        <f>IF(ABS(L195)&lt;0.02," 合理",IF(ABS(L195)&lt;0.05," 关注"," 复查"))</f>
        <v/>
      </c>
    </row>
    <row r="196">
      <c r="A196" t="n">
        <v>195</v>
      </c>
      <c r="B196" t="inlineStr">
        <is>
          <t>感应夜灯</t>
        </is>
      </c>
      <c r="C196" t="inlineStr">
        <is>
          <t>甲供</t>
        </is>
      </c>
      <c r="D196" t="inlineStr">
        <is>
          <t>个</t>
        </is>
      </c>
      <c r="E196" t="inlineStr">
        <is>
          <t>D4</t>
        </is>
      </c>
      <c r="F196" t="n">
        <v>2</v>
      </c>
      <c r="G196" s="4" t="n">
        <v>3</v>
      </c>
      <c r="H196" s="5" t="n"/>
      <c r="I196" s="4" t="n">
        <v>6</v>
      </c>
      <c r="J196" s="6">
        <f>H196*F196</f>
        <v/>
      </c>
      <c r="K196" s="6">
        <f>J196-I196</f>
        <v/>
      </c>
      <c r="L196" s="7">
        <f>IF(I196=0,"",K196/I196)</f>
        <v/>
      </c>
      <c r="M196" s="6">
        <f>IF(ABS(L196)&lt;0.02," 合理",IF(ABS(L196)&lt;0.05," 关注"," 复查"))</f>
        <v/>
      </c>
    </row>
    <row r="197">
      <c r="A197" t="n">
        <v>196</v>
      </c>
      <c r="B197" t="inlineStr">
        <is>
          <t>感应夜灯</t>
        </is>
      </c>
      <c r="C197" t="inlineStr">
        <is>
          <t>甲供</t>
        </is>
      </c>
      <c r="D197" t="inlineStr">
        <is>
          <t>个</t>
        </is>
      </c>
      <c r="E197" t="inlineStr">
        <is>
          <t>E</t>
        </is>
      </c>
      <c r="F197" t="n">
        <v>28</v>
      </c>
      <c r="G197" s="4" t="n">
        <v>3</v>
      </c>
      <c r="H197" s="5" t="n"/>
      <c r="I197" s="4" t="n">
        <v>84</v>
      </c>
      <c r="J197" s="6">
        <f>H197*F197</f>
        <v/>
      </c>
      <c r="K197" s="6">
        <f>J197-I197</f>
        <v/>
      </c>
      <c r="L197" s="7">
        <f>IF(I197=0,"",K197/I197)</f>
        <v/>
      </c>
      <c r="M197" s="6">
        <f>IF(ABS(L197)&lt;0.02," 合理",IF(ABS(L197)&lt;0.05," 关注"," 复查"))</f>
        <v/>
      </c>
    </row>
    <row r="198">
      <c r="A198" t="n">
        <v>197</v>
      </c>
      <c r="B198" t="inlineStr">
        <is>
          <t>TP电话插座</t>
        </is>
      </c>
      <c r="C198" t="inlineStr">
        <is>
          <t>甲供</t>
        </is>
      </c>
      <c r="D198" t="inlineStr">
        <is>
          <t>个</t>
        </is>
      </c>
      <c r="E198" t="inlineStr">
        <is>
          <t>A1</t>
        </is>
      </c>
      <c r="F198" t="n">
        <v>34</v>
      </c>
      <c r="G198" s="4" t="n">
        <v>1</v>
      </c>
      <c r="H198" s="5" t="n"/>
      <c r="I198" s="4" t="n">
        <v>34</v>
      </c>
      <c r="J198" s="6">
        <f>H198*F198</f>
        <v/>
      </c>
      <c r="K198" s="6">
        <f>J198-I198</f>
        <v/>
      </c>
      <c r="L198" s="7">
        <f>IF(I198=0,"",K198/I198)</f>
        <v/>
      </c>
      <c r="M198" s="6">
        <f>IF(ABS(L198)&lt;0.02," 合理",IF(ABS(L198)&lt;0.05," 关注"," 复查"))</f>
        <v/>
      </c>
    </row>
    <row r="199">
      <c r="A199" t="n">
        <v>198</v>
      </c>
      <c r="B199" t="inlineStr">
        <is>
          <t>TP电话插座</t>
        </is>
      </c>
      <c r="C199" t="inlineStr">
        <is>
          <t>甲供</t>
        </is>
      </c>
      <c r="D199" t="inlineStr">
        <is>
          <t>个</t>
        </is>
      </c>
      <c r="E199" t="inlineStr">
        <is>
          <t>C</t>
        </is>
      </c>
      <c r="F199" t="n">
        <v>17</v>
      </c>
      <c r="G199" s="4" t="n">
        <v>1</v>
      </c>
      <c r="H199" s="5" t="n"/>
      <c r="I199" s="4" t="n">
        <v>17</v>
      </c>
      <c r="J199" s="6">
        <f>H199*F199</f>
        <v/>
      </c>
      <c r="K199" s="6">
        <f>J199-I199</f>
        <v/>
      </c>
      <c r="L199" s="7">
        <f>IF(I199=0,"",K199/I199)</f>
        <v/>
      </c>
      <c r="M199" s="6">
        <f>IF(ABS(L199)&lt;0.02," 合理",IF(ABS(L199)&lt;0.05," 关注"," 复查"))</f>
        <v/>
      </c>
    </row>
    <row r="200">
      <c r="A200" t="n">
        <v>199</v>
      </c>
      <c r="B200" t="inlineStr">
        <is>
          <t>TV电视插座</t>
        </is>
      </c>
      <c r="C200" t="inlineStr">
        <is>
          <t>甲供</t>
        </is>
      </c>
      <c r="D200" t="inlineStr">
        <is>
          <t>个</t>
        </is>
      </c>
      <c r="E200" t="inlineStr">
        <is>
          <t>A1</t>
        </is>
      </c>
      <c r="F200" t="n">
        <v>34</v>
      </c>
      <c r="G200" s="4" t="n">
        <v>2</v>
      </c>
      <c r="H200" s="5" t="n"/>
      <c r="I200" s="4" t="n">
        <v>68</v>
      </c>
      <c r="J200" s="6">
        <f>H200*F200</f>
        <v/>
      </c>
      <c r="K200" s="6">
        <f>J200-I200</f>
        <v/>
      </c>
      <c r="L200" s="7">
        <f>IF(I200=0,"",K200/I200)</f>
        <v/>
      </c>
      <c r="M200" s="6">
        <f>IF(ABS(L200)&lt;0.02," 合理",IF(ABS(L200)&lt;0.05," 关注"," 复查"))</f>
        <v/>
      </c>
    </row>
    <row r="201">
      <c r="A201" t="n">
        <v>200</v>
      </c>
      <c r="B201" t="inlineStr">
        <is>
          <t>TV电视插座</t>
        </is>
      </c>
      <c r="C201" t="inlineStr">
        <is>
          <t>甲供</t>
        </is>
      </c>
      <c r="D201" t="inlineStr">
        <is>
          <t>个</t>
        </is>
      </c>
      <c r="E201" t="inlineStr">
        <is>
          <t>B1</t>
        </is>
      </c>
      <c r="F201" t="n">
        <v>68</v>
      </c>
      <c r="G201" s="4" t="n">
        <v>2</v>
      </c>
      <c r="H201" s="5" t="n"/>
      <c r="I201" s="4" t="n">
        <v>136</v>
      </c>
      <c r="J201" s="6">
        <f>H201*F201</f>
        <v/>
      </c>
      <c r="K201" s="6">
        <f>J201-I201</f>
        <v/>
      </c>
      <c r="L201" s="7">
        <f>IF(I201=0,"",K201/I201)</f>
        <v/>
      </c>
      <c r="M201" s="6">
        <f>IF(ABS(L201)&lt;0.02," 合理",IF(ABS(L201)&lt;0.05," 关注"," 复查"))</f>
        <v/>
      </c>
    </row>
    <row r="202">
      <c r="A202" t="n">
        <v>201</v>
      </c>
      <c r="B202" t="inlineStr">
        <is>
          <t>TV电视插座</t>
        </is>
      </c>
      <c r="C202" t="inlineStr">
        <is>
          <t>甲供</t>
        </is>
      </c>
      <c r="D202" t="inlineStr">
        <is>
          <t>个</t>
        </is>
      </c>
      <c r="E202" t="inlineStr">
        <is>
          <t>B2</t>
        </is>
      </c>
      <c r="F202" t="n">
        <v>17</v>
      </c>
      <c r="G202" s="4" t="n">
        <v>2</v>
      </c>
      <c r="H202" s="5" t="n"/>
      <c r="I202" s="4" t="n">
        <v>34</v>
      </c>
      <c r="J202" s="6">
        <f>H202*F202</f>
        <v/>
      </c>
      <c r="K202" s="6">
        <f>J202-I202</f>
        <v/>
      </c>
      <c r="L202" s="7">
        <f>IF(I202=0,"",K202/I202)</f>
        <v/>
      </c>
      <c r="M202" s="6">
        <f>IF(ABS(L202)&lt;0.02," 合理",IF(ABS(L202)&lt;0.05," 关注"," 复查"))</f>
        <v/>
      </c>
    </row>
    <row r="203">
      <c r="A203" t="n">
        <v>202</v>
      </c>
      <c r="B203" t="inlineStr">
        <is>
          <t>TV电视插座</t>
        </is>
      </c>
      <c r="C203" t="inlineStr">
        <is>
          <t>甲供</t>
        </is>
      </c>
      <c r="D203" t="inlineStr">
        <is>
          <t>个</t>
        </is>
      </c>
      <c r="E203" t="inlineStr">
        <is>
          <t>C</t>
        </is>
      </c>
      <c r="F203" t="n">
        <v>17</v>
      </c>
      <c r="G203" s="4" t="n">
        <v>3</v>
      </c>
      <c r="H203" s="5" t="n"/>
      <c r="I203" s="4" t="n">
        <v>51</v>
      </c>
      <c r="J203" s="6">
        <f>H203*F203</f>
        <v/>
      </c>
      <c r="K203" s="6">
        <f>J203-I203</f>
        <v/>
      </c>
      <c r="L203" s="7">
        <f>IF(I203=0,"",K203/I203)</f>
        <v/>
      </c>
      <c r="M203" s="6">
        <f>IF(ABS(L203)&lt;0.02," 合理",IF(ABS(L203)&lt;0.05," 关注"," 复查"))</f>
        <v/>
      </c>
    </row>
    <row r="204">
      <c r="A204" t="n">
        <v>203</v>
      </c>
      <c r="B204" t="inlineStr">
        <is>
          <t>TV电视插座</t>
        </is>
      </c>
      <c r="C204" t="inlineStr">
        <is>
          <t>甲供</t>
        </is>
      </c>
      <c r="D204" t="inlineStr">
        <is>
          <t>个</t>
        </is>
      </c>
      <c r="E204" t="inlineStr">
        <is>
          <t>D1</t>
        </is>
      </c>
      <c r="F204" t="n">
        <v>34</v>
      </c>
      <c r="G204" s="4" t="n">
        <v>2</v>
      </c>
      <c r="H204" s="5" t="n"/>
      <c r="I204" s="4" t="n">
        <v>68</v>
      </c>
      <c r="J204" s="6">
        <f>H204*F204</f>
        <v/>
      </c>
      <c r="K204" s="6">
        <f>J204-I204</f>
        <v/>
      </c>
      <c r="L204" s="7">
        <f>IF(I204=0,"",K204/I204)</f>
        <v/>
      </c>
      <c r="M204" s="6">
        <f>IF(ABS(L204)&lt;0.02," 合理",IF(ABS(L204)&lt;0.05," 关注"," 复查"))</f>
        <v/>
      </c>
    </row>
    <row r="205">
      <c r="A205" t="n">
        <v>204</v>
      </c>
      <c r="B205" t="inlineStr">
        <is>
          <t>TV电视插座</t>
        </is>
      </c>
      <c r="C205" t="inlineStr">
        <is>
          <t>甲供</t>
        </is>
      </c>
      <c r="D205" t="inlineStr">
        <is>
          <t>个</t>
        </is>
      </c>
      <c r="E205" t="inlineStr">
        <is>
          <t>D2</t>
        </is>
      </c>
      <c r="F205" t="n">
        <v>15</v>
      </c>
      <c r="G205" s="4" t="n">
        <v>2</v>
      </c>
      <c r="H205" s="5" t="n"/>
      <c r="I205" s="4" t="n">
        <v>30</v>
      </c>
      <c r="J205" s="6">
        <f>H205*F205</f>
        <v/>
      </c>
      <c r="K205" s="6">
        <f>J205-I205</f>
        <v/>
      </c>
      <c r="L205" s="7">
        <f>IF(I205=0,"",K205/I205)</f>
        <v/>
      </c>
      <c r="M205" s="6">
        <f>IF(ABS(L205)&lt;0.02," 合理",IF(ABS(L205)&lt;0.05," 关注"," 复查"))</f>
        <v/>
      </c>
    </row>
    <row r="206">
      <c r="A206" t="n">
        <v>205</v>
      </c>
      <c r="B206" t="inlineStr">
        <is>
          <t>TV电视插座</t>
        </is>
      </c>
      <c r="C206" t="inlineStr">
        <is>
          <t>甲供</t>
        </is>
      </c>
      <c r="D206" t="inlineStr">
        <is>
          <t>个</t>
        </is>
      </c>
      <c r="E206" t="inlineStr">
        <is>
          <t>D3</t>
        </is>
      </c>
      <c r="F206" t="n">
        <v>2</v>
      </c>
      <c r="G206" s="4" t="n">
        <v>2</v>
      </c>
      <c r="H206" s="5" t="n"/>
      <c r="I206" s="4" t="n">
        <v>4</v>
      </c>
      <c r="J206" s="6">
        <f>H206*F206</f>
        <v/>
      </c>
      <c r="K206" s="6">
        <f>J206-I206</f>
        <v/>
      </c>
      <c r="L206" s="7">
        <f>IF(I206=0,"",K206/I206)</f>
        <v/>
      </c>
      <c r="M206" s="6">
        <f>IF(ABS(L206)&lt;0.02," 合理",IF(ABS(L206)&lt;0.05," 关注"," 复查"))</f>
        <v/>
      </c>
    </row>
    <row r="207">
      <c r="A207" t="n">
        <v>206</v>
      </c>
      <c r="B207" t="inlineStr">
        <is>
          <t>TV电视插座</t>
        </is>
      </c>
      <c r="C207" t="inlineStr">
        <is>
          <t>甲供</t>
        </is>
      </c>
      <c r="D207" t="inlineStr">
        <is>
          <t>个</t>
        </is>
      </c>
      <c r="E207" t="inlineStr">
        <is>
          <t>D4</t>
        </is>
      </c>
      <c r="F207" t="n">
        <v>2</v>
      </c>
      <c r="G207" s="4" t="n">
        <v>2</v>
      </c>
      <c r="H207" s="5" t="n"/>
      <c r="I207" s="4" t="n">
        <v>4</v>
      </c>
      <c r="J207" s="6">
        <f>H207*F207</f>
        <v/>
      </c>
      <c r="K207" s="6">
        <f>J207-I207</f>
        <v/>
      </c>
      <c r="L207" s="7">
        <f>IF(I207=0,"",K207/I207)</f>
        <v/>
      </c>
      <c r="M207" s="6">
        <f>IF(ABS(L207)&lt;0.02," 合理",IF(ABS(L207)&lt;0.05," 关注"," 复查"))</f>
        <v/>
      </c>
    </row>
    <row r="208">
      <c r="A208" t="n">
        <v>207</v>
      </c>
      <c r="B208" t="inlineStr">
        <is>
          <t>TV电视插座</t>
        </is>
      </c>
      <c r="C208" t="inlineStr">
        <is>
          <t>甲供</t>
        </is>
      </c>
      <c r="D208" t="inlineStr">
        <is>
          <t>个</t>
        </is>
      </c>
      <c r="E208" t="inlineStr">
        <is>
          <t>E</t>
        </is>
      </c>
      <c r="F208" t="n">
        <v>28</v>
      </c>
      <c r="G208" s="4" t="n">
        <v>3</v>
      </c>
      <c r="H208" s="5" t="n"/>
      <c r="I208" s="4" t="n">
        <v>84</v>
      </c>
      <c r="J208" s="6">
        <f>H208*F208</f>
        <v/>
      </c>
      <c r="K208" s="6">
        <f>J208-I208</f>
        <v/>
      </c>
      <c r="L208" s="7">
        <f>IF(I208=0,"",K208/I208)</f>
        <v/>
      </c>
      <c r="M208" s="6">
        <f>IF(ABS(L208)&lt;0.02," 合理",IF(ABS(L208)&lt;0.05," 关注"," 复查"))</f>
        <v/>
      </c>
    </row>
    <row r="209">
      <c r="A209" t="n">
        <v>208</v>
      </c>
      <c r="B209" t="inlineStr">
        <is>
          <t>TO+TV网络+电视插座</t>
        </is>
      </c>
      <c r="C209" t="inlineStr">
        <is>
          <t>甲供</t>
        </is>
      </c>
      <c r="D209" t="inlineStr">
        <is>
          <t>个</t>
        </is>
      </c>
      <c r="E209" t="inlineStr">
        <is>
          <t>A1</t>
        </is>
      </c>
      <c r="F209" t="n">
        <v>34</v>
      </c>
      <c r="G209" s="4" t="n">
        <v>3</v>
      </c>
      <c r="H209" s="5" t="n"/>
      <c r="I209" s="4" t="n">
        <v>102</v>
      </c>
      <c r="J209" s="6">
        <f>H209*F209</f>
        <v/>
      </c>
      <c r="K209" s="6">
        <f>J209-I209</f>
        <v/>
      </c>
      <c r="L209" s="7">
        <f>IF(I209=0,"",K209/I209)</f>
        <v/>
      </c>
      <c r="M209" s="6">
        <f>IF(ABS(L209)&lt;0.02," 合理",IF(ABS(L209)&lt;0.05," 关注"," 复查"))</f>
        <v/>
      </c>
    </row>
    <row r="210">
      <c r="A210" t="n">
        <v>209</v>
      </c>
      <c r="B210" t="inlineStr">
        <is>
          <t>TO+TV网络+电视插座</t>
        </is>
      </c>
      <c r="C210" t="inlineStr">
        <is>
          <t>甲供</t>
        </is>
      </c>
      <c r="D210" t="inlineStr">
        <is>
          <t>个</t>
        </is>
      </c>
      <c r="E210" t="inlineStr">
        <is>
          <t>B1</t>
        </is>
      </c>
      <c r="F210" t="n">
        <v>68</v>
      </c>
      <c r="G210" s="4" t="n">
        <v>3</v>
      </c>
      <c r="H210" s="5" t="n"/>
      <c r="I210" s="4" t="n">
        <v>204</v>
      </c>
      <c r="J210" s="6">
        <f>H210*F210</f>
        <v/>
      </c>
      <c r="K210" s="6">
        <f>J210-I210</f>
        <v/>
      </c>
      <c r="L210" s="7">
        <f>IF(I210=0,"",K210/I210)</f>
        <v/>
      </c>
      <c r="M210" s="6">
        <f>IF(ABS(L210)&lt;0.02," 合理",IF(ABS(L210)&lt;0.05," 关注"," 复查"))</f>
        <v/>
      </c>
    </row>
    <row r="211">
      <c r="A211" t="n">
        <v>210</v>
      </c>
      <c r="B211" t="inlineStr">
        <is>
          <t>TO+TV网络+电视插座</t>
        </is>
      </c>
      <c r="C211" t="inlineStr">
        <is>
          <t>甲供</t>
        </is>
      </c>
      <c r="D211" t="inlineStr">
        <is>
          <t>个</t>
        </is>
      </c>
      <c r="E211" t="inlineStr">
        <is>
          <t>B2</t>
        </is>
      </c>
      <c r="F211" t="n">
        <v>17</v>
      </c>
      <c r="G211" s="4" t="n">
        <v>3</v>
      </c>
      <c r="H211" s="5" t="n"/>
      <c r="I211" s="4" t="n">
        <v>51</v>
      </c>
      <c r="J211" s="6">
        <f>H211*F211</f>
        <v/>
      </c>
      <c r="K211" s="6">
        <f>J211-I211</f>
        <v/>
      </c>
      <c r="L211" s="7">
        <f>IF(I211=0,"",K211/I211)</f>
        <v/>
      </c>
      <c r="M211" s="6">
        <f>IF(ABS(L211)&lt;0.02," 合理",IF(ABS(L211)&lt;0.05," 关注"," 复查"))</f>
        <v/>
      </c>
    </row>
    <row r="212">
      <c r="A212" t="n">
        <v>211</v>
      </c>
      <c r="B212" t="inlineStr">
        <is>
          <t>TO+TV网络+电视插座</t>
        </is>
      </c>
      <c r="C212" t="inlineStr">
        <is>
          <t>甲供</t>
        </is>
      </c>
      <c r="D212" t="inlineStr">
        <is>
          <t>个</t>
        </is>
      </c>
      <c r="E212" t="inlineStr">
        <is>
          <t>C</t>
        </is>
      </c>
      <c r="F212" t="n">
        <v>17</v>
      </c>
      <c r="G212" s="4" t="n">
        <v>3</v>
      </c>
      <c r="H212" s="5" t="n"/>
      <c r="I212" s="4" t="n">
        <v>51</v>
      </c>
      <c r="J212" s="6">
        <f>H212*F212</f>
        <v/>
      </c>
      <c r="K212" s="6">
        <f>J212-I212</f>
        <v/>
      </c>
      <c r="L212" s="7">
        <f>IF(I212=0,"",K212/I212)</f>
        <v/>
      </c>
      <c r="M212" s="6">
        <f>IF(ABS(L212)&lt;0.02," 合理",IF(ABS(L212)&lt;0.05," 关注"," 复查"))</f>
        <v/>
      </c>
    </row>
    <row r="213">
      <c r="A213" t="n">
        <v>212</v>
      </c>
      <c r="B213" t="inlineStr">
        <is>
          <t>TO+TV网络+电视插座</t>
        </is>
      </c>
      <c r="C213" t="inlineStr">
        <is>
          <t>甲供</t>
        </is>
      </c>
      <c r="D213" t="inlineStr">
        <is>
          <t>个</t>
        </is>
      </c>
      <c r="E213" t="inlineStr">
        <is>
          <t>D1</t>
        </is>
      </c>
      <c r="F213" t="n">
        <v>34</v>
      </c>
      <c r="G213" s="4" t="n">
        <v>3</v>
      </c>
      <c r="H213" s="5" t="n"/>
      <c r="I213" s="4" t="n">
        <v>102</v>
      </c>
      <c r="J213" s="6">
        <f>H213*F213</f>
        <v/>
      </c>
      <c r="K213" s="6">
        <f>J213-I213</f>
        <v/>
      </c>
      <c r="L213" s="7">
        <f>IF(I213=0,"",K213/I213)</f>
        <v/>
      </c>
      <c r="M213" s="6">
        <f>IF(ABS(L213)&lt;0.02," 合理",IF(ABS(L213)&lt;0.05," 关注"," 复查"))</f>
        <v/>
      </c>
    </row>
    <row r="214">
      <c r="A214" t="n">
        <v>213</v>
      </c>
      <c r="B214" t="inlineStr">
        <is>
          <t>TO+TV网络+电视插座</t>
        </is>
      </c>
      <c r="C214" t="inlineStr">
        <is>
          <t>甲供</t>
        </is>
      </c>
      <c r="D214" t="inlineStr">
        <is>
          <t>个</t>
        </is>
      </c>
      <c r="E214" t="inlineStr">
        <is>
          <t>D2</t>
        </is>
      </c>
      <c r="F214" t="n">
        <v>15</v>
      </c>
      <c r="G214" s="4" t="n">
        <v>3</v>
      </c>
      <c r="H214" s="5" t="n"/>
      <c r="I214" s="4" t="n">
        <v>45</v>
      </c>
      <c r="J214" s="6">
        <f>H214*F214</f>
        <v/>
      </c>
      <c r="K214" s="6">
        <f>J214-I214</f>
        <v/>
      </c>
      <c r="L214" s="7">
        <f>IF(I214=0,"",K214/I214)</f>
        <v/>
      </c>
      <c r="M214" s="6">
        <f>IF(ABS(L214)&lt;0.02," 合理",IF(ABS(L214)&lt;0.05," 关注"," 复查"))</f>
        <v/>
      </c>
    </row>
    <row r="215">
      <c r="A215" t="n">
        <v>214</v>
      </c>
      <c r="B215" t="inlineStr">
        <is>
          <t>TO+TV网络+电视插座</t>
        </is>
      </c>
      <c r="C215" t="inlineStr">
        <is>
          <t>甲供</t>
        </is>
      </c>
      <c r="D215" t="inlineStr">
        <is>
          <t>个</t>
        </is>
      </c>
      <c r="E215" t="inlineStr">
        <is>
          <t>D3</t>
        </is>
      </c>
      <c r="F215" t="n">
        <v>2</v>
      </c>
      <c r="G215" s="4" t="n">
        <v>3</v>
      </c>
      <c r="H215" s="5" t="n"/>
      <c r="I215" s="4" t="n">
        <v>6</v>
      </c>
      <c r="J215" s="6">
        <f>H215*F215</f>
        <v/>
      </c>
      <c r="K215" s="6">
        <f>J215-I215</f>
        <v/>
      </c>
      <c r="L215" s="7">
        <f>IF(I215=0,"",K215/I215)</f>
        <v/>
      </c>
      <c r="M215" s="6">
        <f>IF(ABS(L215)&lt;0.02," 合理",IF(ABS(L215)&lt;0.05," 关注"," 复查"))</f>
        <v/>
      </c>
    </row>
    <row r="216">
      <c r="A216" t="n">
        <v>215</v>
      </c>
      <c r="B216" t="inlineStr">
        <is>
          <t>TO+TV网络+电视插座</t>
        </is>
      </c>
      <c r="C216" t="inlineStr">
        <is>
          <t>甲供</t>
        </is>
      </c>
      <c r="D216" t="inlineStr">
        <is>
          <t>个</t>
        </is>
      </c>
      <c r="E216" t="inlineStr">
        <is>
          <t>D4</t>
        </is>
      </c>
      <c r="F216" t="n">
        <v>2</v>
      </c>
      <c r="G216" s="4" t="n">
        <v>3</v>
      </c>
      <c r="H216" s="5" t="n"/>
      <c r="I216" s="4" t="n">
        <v>6</v>
      </c>
      <c r="J216" s="6">
        <f>H216*F216</f>
        <v/>
      </c>
      <c r="K216" s="6">
        <f>J216-I216</f>
        <v/>
      </c>
      <c r="L216" s="7">
        <f>IF(I216=0,"",K216/I216)</f>
        <v/>
      </c>
      <c r="M216" s="6">
        <f>IF(ABS(L216)&lt;0.02," 合理",IF(ABS(L216)&lt;0.05," 关注"," 复查"))</f>
        <v/>
      </c>
    </row>
    <row r="217">
      <c r="A217" t="n">
        <v>216</v>
      </c>
      <c r="B217" t="inlineStr">
        <is>
          <t>TO+TV网络+电视插座</t>
        </is>
      </c>
      <c r="C217" t="inlineStr">
        <is>
          <t>甲供</t>
        </is>
      </c>
      <c r="D217" t="inlineStr">
        <is>
          <t>个</t>
        </is>
      </c>
      <c r="E217" t="inlineStr">
        <is>
          <t>E</t>
        </is>
      </c>
      <c r="F217" t="n">
        <v>28</v>
      </c>
      <c r="G217" s="4" t="n">
        <v>3</v>
      </c>
      <c r="H217" s="5" t="n"/>
      <c r="I217" s="4" t="n">
        <v>84</v>
      </c>
      <c r="J217" s="6">
        <f>H217*F217</f>
        <v/>
      </c>
      <c r="K217" s="6">
        <f>J217-I217</f>
        <v/>
      </c>
      <c r="L217" s="7">
        <f>IF(I217=0,"",K217/I217)</f>
        <v/>
      </c>
      <c r="M217" s="6">
        <f>IF(ABS(L217)&lt;0.02," 合理",IF(ABS(L217)&lt;0.05," 关注"," 复查"))</f>
        <v/>
      </c>
    </row>
    <row r="218">
      <c r="A218" t="n">
        <v>217</v>
      </c>
      <c r="B218" t="inlineStr">
        <is>
          <t>TO+TP网络+电话插座</t>
        </is>
      </c>
      <c r="C218" t="inlineStr">
        <is>
          <t>甲供</t>
        </is>
      </c>
      <c r="D218" t="inlineStr">
        <is>
          <t>个</t>
        </is>
      </c>
      <c r="E218" t="inlineStr">
        <is>
          <t>A1</t>
        </is>
      </c>
      <c r="F218" t="n">
        <v>34</v>
      </c>
      <c r="G218" s="4" t="n">
        <v>2</v>
      </c>
      <c r="H218" s="5" t="n"/>
      <c r="I218" s="4" t="n">
        <v>68</v>
      </c>
      <c r="J218" s="6">
        <f>H218*F218</f>
        <v/>
      </c>
      <c r="K218" s="6">
        <f>J218-I218</f>
        <v/>
      </c>
      <c r="L218" s="7">
        <f>IF(I218=0,"",K218/I218)</f>
        <v/>
      </c>
      <c r="M218" s="6">
        <f>IF(ABS(L218)&lt;0.02," 合理",IF(ABS(L218)&lt;0.05," 关注"," 复查"))</f>
        <v/>
      </c>
    </row>
    <row r="219">
      <c r="A219" t="n">
        <v>218</v>
      </c>
      <c r="B219" t="inlineStr">
        <is>
          <t>TO+TP网络+电话插座</t>
        </is>
      </c>
      <c r="C219" t="inlineStr">
        <is>
          <t>甲供</t>
        </is>
      </c>
      <c r="D219" t="inlineStr">
        <is>
          <t>个</t>
        </is>
      </c>
      <c r="E219" t="inlineStr">
        <is>
          <t>B1</t>
        </is>
      </c>
      <c r="F219" t="n">
        <v>68</v>
      </c>
      <c r="G219" s="4" t="n">
        <v>2</v>
      </c>
      <c r="H219" s="5" t="n"/>
      <c r="I219" s="4" t="n">
        <v>136</v>
      </c>
      <c r="J219" s="6">
        <f>H219*F219</f>
        <v/>
      </c>
      <c r="K219" s="6">
        <f>J219-I219</f>
        <v/>
      </c>
      <c r="L219" s="7">
        <f>IF(I219=0,"",K219/I219)</f>
        <v/>
      </c>
      <c r="M219" s="6">
        <f>IF(ABS(L219)&lt;0.02," 合理",IF(ABS(L219)&lt;0.05," 关注"," 复查"))</f>
        <v/>
      </c>
    </row>
    <row r="220">
      <c r="A220" t="n">
        <v>219</v>
      </c>
      <c r="B220" t="inlineStr">
        <is>
          <t>TO+TP网络+电话插座</t>
        </is>
      </c>
      <c r="C220" t="inlineStr">
        <is>
          <t>甲供</t>
        </is>
      </c>
      <c r="D220" t="inlineStr">
        <is>
          <t>个</t>
        </is>
      </c>
      <c r="E220" t="inlineStr">
        <is>
          <t>B2</t>
        </is>
      </c>
      <c r="F220" t="n">
        <v>17</v>
      </c>
      <c r="G220" s="4" t="n">
        <v>2</v>
      </c>
      <c r="H220" s="5" t="n"/>
      <c r="I220" s="4" t="n">
        <v>34</v>
      </c>
      <c r="J220" s="6">
        <f>H220*F220</f>
        <v/>
      </c>
      <c r="K220" s="6">
        <f>J220-I220</f>
        <v/>
      </c>
      <c r="L220" s="7">
        <f>IF(I220=0,"",K220/I220)</f>
        <v/>
      </c>
      <c r="M220" s="6">
        <f>IF(ABS(L220)&lt;0.02," 合理",IF(ABS(L220)&lt;0.05," 关注"," 复查"))</f>
        <v/>
      </c>
    </row>
    <row r="221">
      <c r="A221" t="n">
        <v>220</v>
      </c>
      <c r="B221" t="inlineStr">
        <is>
          <t>TO+TP网络+电话插座</t>
        </is>
      </c>
      <c r="C221" t="inlineStr">
        <is>
          <t>甲供</t>
        </is>
      </c>
      <c r="D221" t="inlineStr">
        <is>
          <t>个</t>
        </is>
      </c>
      <c r="E221" t="inlineStr">
        <is>
          <t>C</t>
        </is>
      </c>
      <c r="F221" t="n">
        <v>17</v>
      </c>
      <c r="G221" s="4" t="n">
        <v>3</v>
      </c>
      <c r="H221" s="5" t="n"/>
      <c r="I221" s="4" t="n">
        <v>51</v>
      </c>
      <c r="J221" s="6">
        <f>H221*F221</f>
        <v/>
      </c>
      <c r="K221" s="6">
        <f>J221-I221</f>
        <v/>
      </c>
      <c r="L221" s="7">
        <f>IF(I221=0,"",K221/I221)</f>
        <v/>
      </c>
      <c r="M221" s="6">
        <f>IF(ABS(L221)&lt;0.02," 合理",IF(ABS(L221)&lt;0.05," 关注"," 复查"))</f>
        <v/>
      </c>
    </row>
    <row r="222">
      <c r="A222" t="n">
        <v>221</v>
      </c>
      <c r="B222" t="inlineStr">
        <is>
          <t>TO+TP网络+电话插座</t>
        </is>
      </c>
      <c r="C222" t="inlineStr">
        <is>
          <t>甲供</t>
        </is>
      </c>
      <c r="D222" t="inlineStr">
        <is>
          <t>个</t>
        </is>
      </c>
      <c r="E222" t="inlineStr">
        <is>
          <t>D1</t>
        </is>
      </c>
      <c r="F222" t="n">
        <v>34</v>
      </c>
      <c r="G222" s="4" t="n">
        <v>3</v>
      </c>
      <c r="H222" s="5" t="n"/>
      <c r="I222" s="4" t="n">
        <v>102</v>
      </c>
      <c r="J222" s="6">
        <f>H222*F222</f>
        <v/>
      </c>
      <c r="K222" s="6">
        <f>J222-I222</f>
        <v/>
      </c>
      <c r="L222" s="7">
        <f>IF(I222=0,"",K222/I222)</f>
        <v/>
      </c>
      <c r="M222" s="6">
        <f>IF(ABS(L222)&lt;0.02," 合理",IF(ABS(L222)&lt;0.05," 关注"," 复查"))</f>
        <v/>
      </c>
    </row>
    <row r="223">
      <c r="A223" t="n">
        <v>222</v>
      </c>
      <c r="B223" t="inlineStr">
        <is>
          <t>TO+TP网络+电话插座</t>
        </is>
      </c>
      <c r="C223" t="inlineStr">
        <is>
          <t>甲供</t>
        </is>
      </c>
      <c r="D223" t="inlineStr">
        <is>
          <t>个</t>
        </is>
      </c>
      <c r="E223" t="inlineStr">
        <is>
          <t>D2</t>
        </is>
      </c>
      <c r="F223" t="n">
        <v>15</v>
      </c>
      <c r="G223" s="4" t="n">
        <v>3</v>
      </c>
      <c r="H223" s="5" t="n"/>
      <c r="I223" s="4" t="n">
        <v>45</v>
      </c>
      <c r="J223" s="6">
        <f>H223*F223</f>
        <v/>
      </c>
      <c r="K223" s="6">
        <f>J223-I223</f>
        <v/>
      </c>
      <c r="L223" s="7">
        <f>IF(I223=0,"",K223/I223)</f>
        <v/>
      </c>
      <c r="M223" s="6">
        <f>IF(ABS(L223)&lt;0.02," 合理",IF(ABS(L223)&lt;0.05," 关注"," 复查"))</f>
        <v/>
      </c>
    </row>
    <row r="224">
      <c r="A224" t="n">
        <v>223</v>
      </c>
      <c r="B224" t="inlineStr">
        <is>
          <t>TO+TP网络+电话插座</t>
        </is>
      </c>
      <c r="C224" t="inlineStr">
        <is>
          <t>甲供</t>
        </is>
      </c>
      <c r="D224" t="inlineStr">
        <is>
          <t>个</t>
        </is>
      </c>
      <c r="E224" t="inlineStr">
        <is>
          <t>D3</t>
        </is>
      </c>
      <c r="F224" t="n">
        <v>2</v>
      </c>
      <c r="G224" s="4" t="n">
        <v>3</v>
      </c>
      <c r="H224" s="5" t="n"/>
      <c r="I224" s="4" t="n">
        <v>6</v>
      </c>
      <c r="J224" s="6">
        <f>H224*F224</f>
        <v/>
      </c>
      <c r="K224" s="6">
        <f>J224-I224</f>
        <v/>
      </c>
      <c r="L224" s="7">
        <f>IF(I224=0,"",K224/I224)</f>
        <v/>
      </c>
      <c r="M224" s="6">
        <f>IF(ABS(L224)&lt;0.02," 合理",IF(ABS(L224)&lt;0.05," 关注"," 复查"))</f>
        <v/>
      </c>
    </row>
    <row r="225">
      <c r="A225" t="n">
        <v>224</v>
      </c>
      <c r="B225" t="inlineStr">
        <is>
          <t>TO+TP网络+电话插座</t>
        </is>
      </c>
      <c r="C225" t="inlineStr">
        <is>
          <t>甲供</t>
        </is>
      </c>
      <c r="D225" t="inlineStr">
        <is>
          <t>个</t>
        </is>
      </c>
      <c r="E225" t="inlineStr">
        <is>
          <t>D4</t>
        </is>
      </c>
      <c r="F225" t="n">
        <v>2</v>
      </c>
      <c r="G225" s="4" t="n">
        <v>3</v>
      </c>
      <c r="H225" s="5" t="n"/>
      <c r="I225" s="4" t="n">
        <v>6</v>
      </c>
      <c r="J225" s="6">
        <f>H225*F225</f>
        <v/>
      </c>
      <c r="K225" s="6">
        <f>J225-I225</f>
        <v/>
      </c>
      <c r="L225" s="7">
        <f>IF(I225=0,"",K225/I225)</f>
        <v/>
      </c>
      <c r="M225" s="6">
        <f>IF(ABS(L225)&lt;0.02," 合理",IF(ABS(L225)&lt;0.05," 关注"," 复查"))</f>
        <v/>
      </c>
    </row>
    <row r="226">
      <c r="A226" t="n">
        <v>225</v>
      </c>
      <c r="B226" t="inlineStr">
        <is>
          <t>TO+TP网络+电话插座</t>
        </is>
      </c>
      <c r="C226" t="inlineStr">
        <is>
          <t>甲供</t>
        </is>
      </c>
      <c r="D226" t="inlineStr">
        <is>
          <t>个</t>
        </is>
      </c>
      <c r="E226" t="inlineStr">
        <is>
          <t>E</t>
        </is>
      </c>
      <c r="F226" t="n">
        <v>28</v>
      </c>
      <c r="G226" s="4" t="n">
        <v>3</v>
      </c>
      <c r="H226" s="5" t="n"/>
      <c r="I226" s="4" t="n">
        <v>84</v>
      </c>
      <c r="J226" s="6">
        <f>H226*F226</f>
        <v/>
      </c>
      <c r="K226" s="6">
        <f>J226-I226</f>
        <v/>
      </c>
      <c r="L226" s="7">
        <f>IF(I226=0,"",K226/I226)</f>
        <v/>
      </c>
      <c r="M226" s="6">
        <f>IF(ABS(L226)&lt;0.02," 合理",IF(ABS(L226)&lt;0.05," 关注"," 复查"))</f>
        <v/>
      </c>
    </row>
    <row r="227">
      <c r="A227" t="n">
        <v>226</v>
      </c>
      <c r="B227" t="inlineStr">
        <is>
          <t>手动报警按钮</t>
        </is>
      </c>
      <c r="C227" t="inlineStr">
        <is>
          <t>甲供</t>
        </is>
      </c>
      <c r="D227" t="inlineStr">
        <is>
          <t>个</t>
        </is>
      </c>
      <c r="E227" t="inlineStr">
        <is>
          <t>A1</t>
        </is>
      </c>
      <c r="F227" t="n">
        <v>34</v>
      </c>
      <c r="G227" s="4" t="n">
        <v>1</v>
      </c>
      <c r="H227" s="5" t="n"/>
      <c r="I227" s="4" t="n">
        <v>34</v>
      </c>
      <c r="J227" s="6">
        <f>H227*F227</f>
        <v/>
      </c>
      <c r="K227" s="6">
        <f>J227-I227</f>
        <v/>
      </c>
      <c r="L227" s="7">
        <f>IF(I227=0,"",K227/I227)</f>
        <v/>
      </c>
      <c r="M227" s="6">
        <f>IF(ABS(L227)&lt;0.02," 合理",IF(ABS(L227)&lt;0.05," 关注"," 复查"))</f>
        <v/>
      </c>
    </row>
    <row r="228">
      <c r="A228" t="n">
        <v>227</v>
      </c>
      <c r="B228" t="inlineStr">
        <is>
          <t>手动报警按钮</t>
        </is>
      </c>
      <c r="C228" t="inlineStr">
        <is>
          <t>甲供</t>
        </is>
      </c>
      <c r="D228" t="inlineStr">
        <is>
          <t>个</t>
        </is>
      </c>
      <c r="E228" t="inlineStr">
        <is>
          <t>B1</t>
        </is>
      </c>
      <c r="F228" t="n">
        <v>68</v>
      </c>
      <c r="G228" s="4" t="n">
        <v>1</v>
      </c>
      <c r="H228" s="5" t="n"/>
      <c r="I228" s="4" t="n">
        <v>68</v>
      </c>
      <c r="J228" s="6">
        <f>H228*F228</f>
        <v/>
      </c>
      <c r="K228" s="6">
        <f>J228-I228</f>
        <v/>
      </c>
      <c r="L228" s="7">
        <f>IF(I228=0,"",K228/I228)</f>
        <v/>
      </c>
      <c r="M228" s="6">
        <f>IF(ABS(L228)&lt;0.02," 合理",IF(ABS(L228)&lt;0.05," 关注"," 复查"))</f>
        <v/>
      </c>
    </row>
    <row r="229">
      <c r="A229" t="n">
        <v>228</v>
      </c>
      <c r="B229" t="inlineStr">
        <is>
          <t>手动报警按钮</t>
        </is>
      </c>
      <c r="C229" t="inlineStr">
        <is>
          <t>甲供</t>
        </is>
      </c>
      <c r="D229" t="inlineStr">
        <is>
          <t>个</t>
        </is>
      </c>
      <c r="E229" t="inlineStr">
        <is>
          <t>B2</t>
        </is>
      </c>
      <c r="F229" t="n">
        <v>17</v>
      </c>
      <c r="G229" s="4" t="n">
        <v>1</v>
      </c>
      <c r="H229" s="5" t="n"/>
      <c r="I229" s="4" t="n">
        <v>17</v>
      </c>
      <c r="J229" s="6">
        <f>H229*F229</f>
        <v/>
      </c>
      <c r="K229" s="6">
        <f>J229-I229</f>
        <v/>
      </c>
      <c r="L229" s="7">
        <f>IF(I229=0,"",K229/I229)</f>
        <v/>
      </c>
      <c r="M229" s="6">
        <f>IF(ABS(L229)&lt;0.02," 合理",IF(ABS(L229)&lt;0.05," 关注"," 复查"))</f>
        <v/>
      </c>
    </row>
    <row r="230">
      <c r="A230" t="n">
        <v>229</v>
      </c>
      <c r="B230" t="inlineStr">
        <is>
          <t>手动报警按钮</t>
        </is>
      </c>
      <c r="C230" t="inlineStr">
        <is>
          <t>甲供</t>
        </is>
      </c>
      <c r="D230" t="inlineStr">
        <is>
          <t>个</t>
        </is>
      </c>
      <c r="E230" t="inlineStr">
        <is>
          <t>C</t>
        </is>
      </c>
      <c r="F230" t="n">
        <v>17</v>
      </c>
      <c r="G230" s="4" t="n">
        <v>1</v>
      </c>
      <c r="H230" s="5" t="n"/>
      <c r="I230" s="4" t="n">
        <v>17</v>
      </c>
      <c r="J230" s="6">
        <f>H230*F230</f>
        <v/>
      </c>
      <c r="K230" s="6">
        <f>J230-I230</f>
        <v/>
      </c>
      <c r="L230" s="7">
        <f>IF(I230=0,"",K230/I230)</f>
        <v/>
      </c>
      <c r="M230" s="6">
        <f>IF(ABS(L230)&lt;0.02," 合理",IF(ABS(L230)&lt;0.05," 关注"," 复查"))</f>
        <v/>
      </c>
    </row>
    <row r="231">
      <c r="A231" t="n">
        <v>230</v>
      </c>
      <c r="B231" t="inlineStr">
        <is>
          <t>手动报警按钮</t>
        </is>
      </c>
      <c r="C231" t="inlineStr">
        <is>
          <t>甲供</t>
        </is>
      </c>
      <c r="D231" t="inlineStr">
        <is>
          <t>个</t>
        </is>
      </c>
      <c r="E231" t="inlineStr">
        <is>
          <t>D1</t>
        </is>
      </c>
      <c r="F231" t="n">
        <v>34</v>
      </c>
      <c r="G231" s="4" t="n">
        <v>1</v>
      </c>
      <c r="H231" s="5" t="n"/>
      <c r="I231" s="4" t="n">
        <v>34</v>
      </c>
      <c r="J231" s="6">
        <f>H231*F231</f>
        <v/>
      </c>
      <c r="K231" s="6">
        <f>J231-I231</f>
        <v/>
      </c>
      <c r="L231" s="7">
        <f>IF(I231=0,"",K231/I231)</f>
        <v/>
      </c>
      <c r="M231" s="6">
        <f>IF(ABS(L231)&lt;0.02," 合理",IF(ABS(L231)&lt;0.05," 关注"," 复查"))</f>
        <v/>
      </c>
    </row>
    <row r="232">
      <c r="A232" t="n">
        <v>231</v>
      </c>
      <c r="B232" t="inlineStr">
        <is>
          <t>手动报警按钮</t>
        </is>
      </c>
      <c r="C232" t="inlineStr">
        <is>
          <t>甲供</t>
        </is>
      </c>
      <c r="D232" t="inlineStr">
        <is>
          <t>个</t>
        </is>
      </c>
      <c r="E232" t="inlineStr">
        <is>
          <t>D2</t>
        </is>
      </c>
      <c r="F232" t="n">
        <v>15</v>
      </c>
      <c r="G232" s="4" t="n">
        <v>1</v>
      </c>
      <c r="H232" s="5" t="n"/>
      <c r="I232" s="4" t="n">
        <v>15</v>
      </c>
      <c r="J232" s="6">
        <f>H232*F232</f>
        <v/>
      </c>
      <c r="K232" s="6">
        <f>J232-I232</f>
        <v/>
      </c>
      <c r="L232" s="7">
        <f>IF(I232=0,"",K232/I232)</f>
        <v/>
      </c>
      <c r="M232" s="6">
        <f>IF(ABS(L232)&lt;0.02," 合理",IF(ABS(L232)&lt;0.05," 关注"," 复查"))</f>
        <v/>
      </c>
    </row>
    <row r="233">
      <c r="A233" t="n">
        <v>232</v>
      </c>
      <c r="B233" t="inlineStr">
        <is>
          <t>手动报警按钮</t>
        </is>
      </c>
      <c r="C233" t="inlineStr">
        <is>
          <t>甲供</t>
        </is>
      </c>
      <c r="D233" t="inlineStr">
        <is>
          <t>个</t>
        </is>
      </c>
      <c r="E233" t="inlineStr">
        <is>
          <t>D3</t>
        </is>
      </c>
      <c r="F233" t="n">
        <v>2</v>
      </c>
      <c r="G233" s="4" t="n">
        <v>1</v>
      </c>
      <c r="H233" s="5" t="n"/>
      <c r="I233" s="4" t="n">
        <v>2</v>
      </c>
      <c r="J233" s="6">
        <f>H233*F233</f>
        <v/>
      </c>
      <c r="K233" s="6">
        <f>J233-I233</f>
        <v/>
      </c>
      <c r="L233" s="7">
        <f>IF(I233=0,"",K233/I233)</f>
        <v/>
      </c>
      <c r="M233" s="6">
        <f>IF(ABS(L233)&lt;0.02," 合理",IF(ABS(L233)&lt;0.05," 关注"," 复查"))</f>
        <v/>
      </c>
    </row>
    <row r="234">
      <c r="A234" t="n">
        <v>233</v>
      </c>
      <c r="B234" t="inlineStr">
        <is>
          <t>手动报警按钮</t>
        </is>
      </c>
      <c r="C234" t="inlineStr">
        <is>
          <t>甲供</t>
        </is>
      </c>
      <c r="D234" t="inlineStr">
        <is>
          <t>个</t>
        </is>
      </c>
      <c r="E234" t="inlineStr">
        <is>
          <t>D4</t>
        </is>
      </c>
      <c r="F234" t="n">
        <v>2</v>
      </c>
      <c r="G234" s="4" t="n">
        <v>1</v>
      </c>
      <c r="H234" s="5" t="n"/>
      <c r="I234" s="4" t="n">
        <v>2</v>
      </c>
      <c r="J234" s="6">
        <f>H234*F234</f>
        <v/>
      </c>
      <c r="K234" s="6">
        <f>J234-I234</f>
        <v/>
      </c>
      <c r="L234" s="7">
        <f>IF(I234=0,"",K234/I234)</f>
        <v/>
      </c>
      <c r="M234" s="6">
        <f>IF(ABS(L234)&lt;0.02," 合理",IF(ABS(L234)&lt;0.05," 关注"," 复查"))</f>
        <v/>
      </c>
    </row>
    <row r="235">
      <c r="A235" t="n">
        <v>234</v>
      </c>
      <c r="B235" t="inlineStr">
        <is>
          <t>手动报警按钮</t>
        </is>
      </c>
      <c r="C235" t="inlineStr">
        <is>
          <t>甲供</t>
        </is>
      </c>
      <c r="D235" t="inlineStr">
        <is>
          <t>个</t>
        </is>
      </c>
      <c r="E235" t="inlineStr">
        <is>
          <t>E</t>
        </is>
      </c>
      <c r="F235" t="n">
        <v>28</v>
      </c>
      <c r="G235" s="4" t="n">
        <v>1</v>
      </c>
      <c r="H235" s="5" t="n"/>
      <c r="I235" s="4" t="n">
        <v>28</v>
      </c>
      <c r="J235" s="6">
        <f>H235*F235</f>
        <v/>
      </c>
      <c r="K235" s="6">
        <f>J235-I235</f>
        <v/>
      </c>
      <c r="L235" s="7">
        <f>IF(I235=0,"",K235/I235)</f>
        <v/>
      </c>
      <c r="M235" s="6">
        <f>IF(ABS(L235)&lt;0.02," 合理",IF(ABS(L235)&lt;0.05," 关注"," 复查"))</f>
        <v/>
      </c>
    </row>
    <row r="236">
      <c r="A236" t="n">
        <v>235</v>
      </c>
      <c r="B236" t="inlineStr">
        <is>
          <t>燃气报警器(带电源)</t>
        </is>
      </c>
      <c r="C236" t="inlineStr">
        <is>
          <t>甲供</t>
        </is>
      </c>
      <c r="D236" t="inlineStr">
        <is>
          <t>个</t>
        </is>
      </c>
      <c r="E236" t="inlineStr">
        <is>
          <t>A1</t>
        </is>
      </c>
      <c r="F236" t="n">
        <v>34</v>
      </c>
      <c r="G236" s="4" t="n">
        <v>1</v>
      </c>
      <c r="H236" s="5" t="n"/>
      <c r="I236" s="4" t="n">
        <v>34</v>
      </c>
      <c r="J236" s="6">
        <f>H236*F236</f>
        <v/>
      </c>
      <c r="K236" s="6">
        <f>J236-I236</f>
        <v/>
      </c>
      <c r="L236" s="7">
        <f>IF(I236=0,"",K236/I236)</f>
        <v/>
      </c>
      <c r="M236" s="6">
        <f>IF(ABS(L236)&lt;0.02," 合理",IF(ABS(L236)&lt;0.05," 关注"," 复查"))</f>
        <v/>
      </c>
    </row>
    <row r="237">
      <c r="A237" t="n">
        <v>236</v>
      </c>
      <c r="B237" t="inlineStr">
        <is>
          <t>燃气报警器(带电源)</t>
        </is>
      </c>
      <c r="C237" t="inlineStr">
        <is>
          <t>甲供</t>
        </is>
      </c>
      <c r="D237" t="inlineStr">
        <is>
          <t>个</t>
        </is>
      </c>
      <c r="E237" t="inlineStr">
        <is>
          <t>B1</t>
        </is>
      </c>
      <c r="F237" t="n">
        <v>68</v>
      </c>
      <c r="G237" s="4" t="n">
        <v>1</v>
      </c>
      <c r="H237" s="5" t="n"/>
      <c r="I237" s="4" t="n">
        <v>68</v>
      </c>
      <c r="J237" s="6">
        <f>H237*F237</f>
        <v/>
      </c>
      <c r="K237" s="6">
        <f>J237-I237</f>
        <v/>
      </c>
      <c r="L237" s="7">
        <f>IF(I237=0,"",K237/I237)</f>
        <v/>
      </c>
      <c r="M237" s="6">
        <f>IF(ABS(L237)&lt;0.02," 合理",IF(ABS(L237)&lt;0.05," 关注"," 复查"))</f>
        <v/>
      </c>
    </row>
    <row r="238">
      <c r="A238" t="n">
        <v>237</v>
      </c>
      <c r="B238" t="inlineStr">
        <is>
          <t>燃气报警器(带电源)</t>
        </is>
      </c>
      <c r="C238" t="inlineStr">
        <is>
          <t>甲供</t>
        </is>
      </c>
      <c r="D238" t="inlineStr">
        <is>
          <t>个</t>
        </is>
      </c>
      <c r="E238" t="inlineStr">
        <is>
          <t>B2</t>
        </is>
      </c>
      <c r="F238" t="n">
        <v>17</v>
      </c>
      <c r="G238" s="4" t="n">
        <v>1</v>
      </c>
      <c r="H238" s="5" t="n"/>
      <c r="I238" s="4" t="n">
        <v>17</v>
      </c>
      <c r="J238" s="6">
        <f>H238*F238</f>
        <v/>
      </c>
      <c r="K238" s="6">
        <f>J238-I238</f>
        <v/>
      </c>
      <c r="L238" s="7">
        <f>IF(I238=0,"",K238/I238)</f>
        <v/>
      </c>
      <c r="M238" s="6">
        <f>IF(ABS(L238)&lt;0.02," 合理",IF(ABS(L238)&lt;0.05," 关注"," 复查"))</f>
        <v/>
      </c>
    </row>
    <row r="239">
      <c r="A239" t="n">
        <v>238</v>
      </c>
      <c r="B239" t="inlineStr">
        <is>
          <t>燃气报警器(带电源)</t>
        </is>
      </c>
      <c r="C239" t="inlineStr">
        <is>
          <t>甲供</t>
        </is>
      </c>
      <c r="D239" t="inlineStr">
        <is>
          <t>个</t>
        </is>
      </c>
      <c r="E239" t="inlineStr">
        <is>
          <t>C</t>
        </is>
      </c>
      <c r="F239" t="n">
        <v>17</v>
      </c>
      <c r="G239" s="4" t="n">
        <v>1</v>
      </c>
      <c r="H239" s="5" t="n"/>
      <c r="I239" s="4" t="n">
        <v>17</v>
      </c>
      <c r="J239" s="6">
        <f>H239*F239</f>
        <v/>
      </c>
      <c r="K239" s="6">
        <f>J239-I239</f>
        <v/>
      </c>
      <c r="L239" s="7">
        <f>IF(I239=0,"",K239/I239)</f>
        <v/>
      </c>
      <c r="M239" s="6">
        <f>IF(ABS(L239)&lt;0.02," 合理",IF(ABS(L239)&lt;0.05," 关注"," 复查"))</f>
        <v/>
      </c>
    </row>
    <row r="240">
      <c r="A240" t="n">
        <v>239</v>
      </c>
      <c r="B240" t="inlineStr">
        <is>
          <t>燃气报警器(带电源)</t>
        </is>
      </c>
      <c r="C240" t="inlineStr">
        <is>
          <t>甲供</t>
        </is>
      </c>
      <c r="D240" t="inlineStr">
        <is>
          <t>个</t>
        </is>
      </c>
      <c r="E240" t="inlineStr">
        <is>
          <t>D1</t>
        </is>
      </c>
      <c r="F240" t="n">
        <v>34</v>
      </c>
      <c r="G240" s="4" t="n">
        <v>1</v>
      </c>
      <c r="H240" s="5" t="n"/>
      <c r="I240" s="4" t="n">
        <v>34</v>
      </c>
      <c r="J240" s="6">
        <f>H240*F240</f>
        <v/>
      </c>
      <c r="K240" s="6">
        <f>J240-I240</f>
        <v/>
      </c>
      <c r="L240" s="7">
        <f>IF(I240=0,"",K240/I240)</f>
        <v/>
      </c>
      <c r="M240" s="6">
        <f>IF(ABS(L240)&lt;0.02," 合理",IF(ABS(L240)&lt;0.05," 关注"," 复查"))</f>
        <v/>
      </c>
    </row>
    <row r="241">
      <c r="A241" t="n">
        <v>240</v>
      </c>
      <c r="B241" t="inlineStr">
        <is>
          <t>燃气报警器(带电源)</t>
        </is>
      </c>
      <c r="C241" t="inlineStr">
        <is>
          <t>甲供</t>
        </is>
      </c>
      <c r="D241" t="inlineStr">
        <is>
          <t>个</t>
        </is>
      </c>
      <c r="E241" t="inlineStr">
        <is>
          <t>D2</t>
        </is>
      </c>
      <c r="F241" t="n">
        <v>15</v>
      </c>
      <c r="G241" s="4" t="n">
        <v>1</v>
      </c>
      <c r="H241" s="5" t="n"/>
      <c r="I241" s="4" t="n">
        <v>15</v>
      </c>
      <c r="J241" s="6">
        <f>H241*F241</f>
        <v/>
      </c>
      <c r="K241" s="6">
        <f>J241-I241</f>
        <v/>
      </c>
      <c r="L241" s="7">
        <f>IF(I241=0,"",K241/I241)</f>
        <v/>
      </c>
      <c r="M241" s="6">
        <f>IF(ABS(L241)&lt;0.02," 合理",IF(ABS(L241)&lt;0.05," 关注"," 复查"))</f>
        <v/>
      </c>
    </row>
    <row r="242">
      <c r="A242" t="n">
        <v>241</v>
      </c>
      <c r="B242" t="inlineStr">
        <is>
          <t>燃气报警器(带电源)</t>
        </is>
      </c>
      <c r="C242" t="inlineStr">
        <is>
          <t>甲供</t>
        </is>
      </c>
      <c r="D242" t="inlineStr">
        <is>
          <t>个</t>
        </is>
      </c>
      <c r="E242" t="inlineStr">
        <is>
          <t>D3</t>
        </is>
      </c>
      <c r="F242" t="n">
        <v>2</v>
      </c>
      <c r="G242" s="4" t="n">
        <v>1</v>
      </c>
      <c r="H242" s="5" t="n"/>
      <c r="I242" s="4" t="n">
        <v>2</v>
      </c>
      <c r="J242" s="6">
        <f>H242*F242</f>
        <v/>
      </c>
      <c r="K242" s="6">
        <f>J242-I242</f>
        <v/>
      </c>
      <c r="L242" s="7">
        <f>IF(I242=0,"",K242/I242)</f>
        <v/>
      </c>
      <c r="M242" s="6">
        <f>IF(ABS(L242)&lt;0.02," 合理",IF(ABS(L242)&lt;0.05," 关注"," 复查"))</f>
        <v/>
      </c>
    </row>
    <row r="243">
      <c r="A243" t="n">
        <v>242</v>
      </c>
      <c r="B243" t="inlineStr">
        <is>
          <t>燃气报警器(带电源)</t>
        </is>
      </c>
      <c r="C243" t="inlineStr">
        <is>
          <t>甲供</t>
        </is>
      </c>
      <c r="D243" t="inlineStr">
        <is>
          <t>个</t>
        </is>
      </c>
      <c r="E243" t="inlineStr">
        <is>
          <t>D4</t>
        </is>
      </c>
      <c r="F243" t="n">
        <v>2</v>
      </c>
      <c r="G243" s="4" t="n">
        <v>1</v>
      </c>
      <c r="H243" s="5" t="n"/>
      <c r="I243" s="4" t="n">
        <v>2</v>
      </c>
      <c r="J243" s="6">
        <f>H243*F243</f>
        <v/>
      </c>
      <c r="K243" s="6">
        <f>J243-I243</f>
        <v/>
      </c>
      <c r="L243" s="7">
        <f>IF(I243=0,"",K243/I243)</f>
        <v/>
      </c>
      <c r="M243" s="6">
        <f>IF(ABS(L243)&lt;0.02," 合理",IF(ABS(L243)&lt;0.05," 关注"," 复查"))</f>
        <v/>
      </c>
    </row>
    <row r="244">
      <c r="A244" t="n">
        <v>243</v>
      </c>
      <c r="B244" t="inlineStr">
        <is>
          <t>燃气报警器(带电源)</t>
        </is>
      </c>
      <c r="C244" t="inlineStr">
        <is>
          <t>甲供</t>
        </is>
      </c>
      <c r="D244" t="inlineStr">
        <is>
          <t>个</t>
        </is>
      </c>
      <c r="E244" t="inlineStr">
        <is>
          <t>E</t>
        </is>
      </c>
      <c r="F244" t="n">
        <v>28</v>
      </c>
      <c r="G244" s="4" t="n">
        <v>1</v>
      </c>
      <c r="H244" s="5" t="n"/>
      <c r="I244" s="4" t="n">
        <v>28</v>
      </c>
      <c r="J244" s="6">
        <f>H244*F244</f>
        <v/>
      </c>
      <c r="K244" s="6">
        <f>J244-I244</f>
        <v/>
      </c>
      <c r="L244" s="7">
        <f>IF(I244=0,"",K244/I244)</f>
        <v/>
      </c>
      <c r="M244" s="6">
        <f>IF(ABS(L244)&lt;0.02," 合理",IF(ABS(L244)&lt;0.05," 关注"," 复查"))</f>
        <v/>
      </c>
    </row>
    <row r="245">
      <c r="A245" t="n">
        <v>244</v>
      </c>
      <c r="B245" t="inlineStr">
        <is>
          <t>空白面板</t>
        </is>
      </c>
      <c r="C245" t="inlineStr">
        <is>
          <t>甲供</t>
        </is>
      </c>
      <c r="D245" t="inlineStr">
        <is>
          <t>个</t>
        </is>
      </c>
      <c r="E245" t="inlineStr">
        <is>
          <t>A1</t>
        </is>
      </c>
      <c r="F245" t="n">
        <v>34</v>
      </c>
      <c r="G245" s="4" t="n">
        <v>1</v>
      </c>
      <c r="H245" s="5" t="n"/>
      <c r="I245" s="4" t="n">
        <v>34</v>
      </c>
      <c r="J245" s="6">
        <f>H245*F245</f>
        <v/>
      </c>
      <c r="K245" s="6">
        <f>J245-I245</f>
        <v/>
      </c>
      <c r="L245" s="7">
        <f>IF(I245=0,"",K245/I245)</f>
        <v/>
      </c>
      <c r="M245" s="6">
        <f>IF(ABS(L245)&lt;0.02," 合理",IF(ABS(L245)&lt;0.05," 关注"," 复查"))</f>
        <v/>
      </c>
    </row>
    <row r="246">
      <c r="A246" t="n">
        <v>245</v>
      </c>
      <c r="B246" t="inlineStr">
        <is>
          <t>空白面板</t>
        </is>
      </c>
      <c r="C246" t="inlineStr">
        <is>
          <t>甲供</t>
        </is>
      </c>
      <c r="D246" t="inlineStr">
        <is>
          <t>个</t>
        </is>
      </c>
      <c r="E246" t="inlineStr">
        <is>
          <t>B1</t>
        </is>
      </c>
      <c r="F246" t="n">
        <v>68</v>
      </c>
      <c r="G246" s="4" t="n">
        <v>1</v>
      </c>
      <c r="H246" s="5" t="n"/>
      <c r="I246" s="4" t="n">
        <v>68</v>
      </c>
      <c r="J246" s="6">
        <f>H246*F246</f>
        <v/>
      </c>
      <c r="K246" s="6">
        <f>J246-I246</f>
        <v/>
      </c>
      <c r="L246" s="7">
        <f>IF(I246=0,"",K246/I246)</f>
        <v/>
      </c>
      <c r="M246" s="6">
        <f>IF(ABS(L246)&lt;0.02," 合理",IF(ABS(L246)&lt;0.05," 关注"," 复查"))</f>
        <v/>
      </c>
    </row>
    <row r="247">
      <c r="A247" t="n">
        <v>246</v>
      </c>
      <c r="B247" t="inlineStr">
        <is>
          <t>空白面板</t>
        </is>
      </c>
      <c r="C247" t="inlineStr">
        <is>
          <t>甲供</t>
        </is>
      </c>
      <c r="D247" t="inlineStr">
        <is>
          <t>个</t>
        </is>
      </c>
      <c r="E247" t="inlineStr">
        <is>
          <t>B2</t>
        </is>
      </c>
      <c r="F247" t="n">
        <v>17</v>
      </c>
      <c r="G247" s="4" t="n">
        <v>1</v>
      </c>
      <c r="H247" s="5" t="n"/>
      <c r="I247" s="4" t="n">
        <v>17</v>
      </c>
      <c r="J247" s="6">
        <f>H247*F247</f>
        <v/>
      </c>
      <c r="K247" s="6">
        <f>J247-I247</f>
        <v/>
      </c>
      <c r="L247" s="7">
        <f>IF(I247=0,"",K247/I247)</f>
        <v/>
      </c>
      <c r="M247" s="6">
        <f>IF(ABS(L247)&lt;0.02," 合理",IF(ABS(L247)&lt;0.05," 关注"," 复查"))</f>
        <v/>
      </c>
    </row>
    <row r="248">
      <c r="A248" t="n">
        <v>247</v>
      </c>
      <c r="B248" t="inlineStr">
        <is>
          <t>空白面板</t>
        </is>
      </c>
      <c r="C248" t="inlineStr">
        <is>
          <t>甲供</t>
        </is>
      </c>
      <c r="D248" t="inlineStr">
        <is>
          <t>个</t>
        </is>
      </c>
      <c r="E248" t="inlineStr">
        <is>
          <t>C</t>
        </is>
      </c>
      <c r="F248" t="n">
        <v>17</v>
      </c>
      <c r="G248" s="4" t="n">
        <v>1</v>
      </c>
      <c r="H248" s="5" t="n"/>
      <c r="I248" s="4" t="n">
        <v>17</v>
      </c>
      <c r="J248" s="6">
        <f>H248*F248</f>
        <v/>
      </c>
      <c r="K248" s="6">
        <f>J248-I248</f>
        <v/>
      </c>
      <c r="L248" s="7">
        <f>IF(I248=0,"",K248/I248)</f>
        <v/>
      </c>
      <c r="M248" s="6">
        <f>IF(ABS(L248)&lt;0.02," 合理",IF(ABS(L248)&lt;0.05," 关注"," 复查"))</f>
        <v/>
      </c>
    </row>
    <row r="249">
      <c r="A249" t="n">
        <v>248</v>
      </c>
      <c r="B249" t="inlineStr">
        <is>
          <t>空白面板</t>
        </is>
      </c>
      <c r="C249" t="inlineStr">
        <is>
          <t>甲供</t>
        </is>
      </c>
      <c r="D249" t="inlineStr">
        <is>
          <t>个</t>
        </is>
      </c>
      <c r="E249" t="inlineStr">
        <is>
          <t>D1</t>
        </is>
      </c>
      <c r="F249" t="n">
        <v>34</v>
      </c>
      <c r="G249" s="4" t="n">
        <v>1</v>
      </c>
      <c r="H249" s="5" t="n"/>
      <c r="I249" s="4" t="n">
        <v>34</v>
      </c>
      <c r="J249" s="6">
        <f>H249*F249</f>
        <v/>
      </c>
      <c r="K249" s="6">
        <f>J249-I249</f>
        <v/>
      </c>
      <c r="L249" s="7">
        <f>IF(I249=0,"",K249/I249)</f>
        <v/>
      </c>
      <c r="M249" s="6">
        <f>IF(ABS(L249)&lt;0.02," 合理",IF(ABS(L249)&lt;0.05," 关注"," 复查"))</f>
        <v/>
      </c>
    </row>
    <row r="250">
      <c r="A250" t="n">
        <v>249</v>
      </c>
      <c r="B250" t="inlineStr">
        <is>
          <t>空白面板</t>
        </is>
      </c>
      <c r="C250" t="inlineStr">
        <is>
          <t>甲供</t>
        </is>
      </c>
      <c r="D250" t="inlineStr">
        <is>
          <t>个</t>
        </is>
      </c>
      <c r="E250" t="inlineStr">
        <is>
          <t>D2</t>
        </is>
      </c>
      <c r="F250" t="n">
        <v>15</v>
      </c>
      <c r="G250" s="4" t="n">
        <v>1</v>
      </c>
      <c r="H250" s="5" t="n"/>
      <c r="I250" s="4" t="n">
        <v>15</v>
      </c>
      <c r="J250" s="6">
        <f>H250*F250</f>
        <v/>
      </c>
      <c r="K250" s="6">
        <f>J250-I250</f>
        <v/>
      </c>
      <c r="L250" s="7">
        <f>IF(I250=0,"",K250/I250)</f>
        <v/>
      </c>
      <c r="M250" s="6">
        <f>IF(ABS(L250)&lt;0.02," 合理",IF(ABS(L250)&lt;0.05," 关注"," 复查"))</f>
        <v/>
      </c>
    </row>
    <row r="251">
      <c r="A251" t="n">
        <v>250</v>
      </c>
      <c r="B251" t="inlineStr">
        <is>
          <t>空白面板</t>
        </is>
      </c>
      <c r="C251" t="inlineStr">
        <is>
          <t>甲供</t>
        </is>
      </c>
      <c r="D251" t="inlineStr">
        <is>
          <t>个</t>
        </is>
      </c>
      <c r="E251" t="inlineStr">
        <is>
          <t>D3</t>
        </is>
      </c>
      <c r="F251" t="n">
        <v>2</v>
      </c>
      <c r="G251" s="4" t="n">
        <v>1</v>
      </c>
      <c r="H251" s="5" t="n"/>
      <c r="I251" s="4" t="n">
        <v>2</v>
      </c>
      <c r="J251" s="6">
        <f>H251*F251</f>
        <v/>
      </c>
      <c r="K251" s="6">
        <f>J251-I251</f>
        <v/>
      </c>
      <c r="L251" s="7">
        <f>IF(I251=0,"",K251/I251)</f>
        <v/>
      </c>
      <c r="M251" s="6">
        <f>IF(ABS(L251)&lt;0.02," 合理",IF(ABS(L251)&lt;0.05," 关注"," 复查"))</f>
        <v/>
      </c>
    </row>
    <row r="252">
      <c r="A252" t="n">
        <v>251</v>
      </c>
      <c r="B252" t="inlineStr">
        <is>
          <t>空白面板</t>
        </is>
      </c>
      <c r="C252" t="inlineStr">
        <is>
          <t>甲供</t>
        </is>
      </c>
      <c r="D252" t="inlineStr">
        <is>
          <t>个</t>
        </is>
      </c>
      <c r="E252" t="inlineStr">
        <is>
          <t>D4</t>
        </is>
      </c>
      <c r="F252" t="n">
        <v>2</v>
      </c>
      <c r="G252" s="4" t="n">
        <v>1</v>
      </c>
      <c r="H252" s="5" t="n"/>
      <c r="I252" s="4" t="n">
        <v>2</v>
      </c>
      <c r="J252" s="6">
        <f>H252*F252</f>
        <v/>
      </c>
      <c r="K252" s="6">
        <f>J252-I252</f>
        <v/>
      </c>
      <c r="L252" s="7">
        <f>IF(I252=0,"",K252/I252)</f>
        <v/>
      </c>
      <c r="M252" s="6">
        <f>IF(ABS(L252)&lt;0.02," 合理",IF(ABS(L252)&lt;0.05," 关注"," 复查"))</f>
        <v/>
      </c>
    </row>
    <row r="253">
      <c r="A253" t="n">
        <v>252</v>
      </c>
      <c r="B253" t="inlineStr">
        <is>
          <t>空白面板</t>
        </is>
      </c>
      <c r="C253" t="inlineStr">
        <is>
          <t>甲供</t>
        </is>
      </c>
      <c r="D253" t="inlineStr">
        <is>
          <t>个</t>
        </is>
      </c>
      <c r="E253" t="inlineStr">
        <is>
          <t>E</t>
        </is>
      </c>
      <c r="F253" t="n">
        <v>28</v>
      </c>
      <c r="G253" s="4" t="n">
        <v>1</v>
      </c>
      <c r="H253" s="5" t="n"/>
      <c r="I253" s="4" t="n">
        <v>28</v>
      </c>
      <c r="J253" s="6">
        <f>H253*F253</f>
        <v/>
      </c>
      <c r="K253" s="6">
        <f>J253-I253</f>
        <v/>
      </c>
      <c r="L253" s="7">
        <f>IF(I253=0,"",K253/I253)</f>
        <v/>
      </c>
      <c r="M253" s="6">
        <f>IF(ABS(L253)&lt;0.02," 合理",IF(ABS(L253)&lt;0.05," 关注"," 复查"))</f>
        <v/>
      </c>
    </row>
    <row r="254">
      <c r="A254" t="n">
        <v>253</v>
      </c>
      <c r="B254" t="inlineStr">
        <is>
          <t>CAT6网线</t>
        </is>
      </c>
      <c r="C254" t="inlineStr">
        <is>
          <t>甲供</t>
        </is>
      </c>
      <c r="D254" t="inlineStr">
        <is>
          <t>m</t>
        </is>
      </c>
      <c r="E254" t="inlineStr">
        <is>
          <t>A1</t>
        </is>
      </c>
      <c r="F254" t="n">
        <v>34</v>
      </c>
      <c r="G254" s="4" t="n">
        <v>183.44</v>
      </c>
      <c r="H254" s="5" t="n"/>
      <c r="I254" s="4" t="n">
        <v>6236.96</v>
      </c>
      <c r="J254" s="6">
        <f>H254*F254</f>
        <v/>
      </c>
      <c r="K254" s="6">
        <f>J254-I254</f>
        <v/>
      </c>
      <c r="L254" s="7">
        <f>IF(I254=0,"",K254/I254)</f>
        <v/>
      </c>
      <c r="M254" s="6">
        <f>IF(ABS(L254)&lt;0.02," 合理",IF(ABS(L254)&lt;0.05," 关注"," 复查"))</f>
        <v/>
      </c>
    </row>
    <row r="255">
      <c r="A255" t="n">
        <v>254</v>
      </c>
      <c r="B255" t="inlineStr">
        <is>
          <t>CAT6网线</t>
        </is>
      </c>
      <c r="C255" t="inlineStr">
        <is>
          <t>甲供</t>
        </is>
      </c>
      <c r="D255" t="inlineStr">
        <is>
          <t>m</t>
        </is>
      </c>
      <c r="E255" t="inlineStr">
        <is>
          <t>B1</t>
        </is>
      </c>
      <c r="F255" t="n">
        <v>68</v>
      </c>
      <c r="G255" s="4" t="n">
        <v>184.15</v>
      </c>
      <c r="H255" s="5" t="n"/>
      <c r="I255" s="4" t="n">
        <v>12522.2</v>
      </c>
      <c r="J255" s="6">
        <f>H255*F255</f>
        <v/>
      </c>
      <c r="K255" s="6">
        <f>J255-I255</f>
        <v/>
      </c>
      <c r="L255" s="7">
        <f>IF(I255=0,"",K255/I255)</f>
        <v/>
      </c>
      <c r="M255" s="6">
        <f>IF(ABS(L255)&lt;0.02," 合理",IF(ABS(L255)&lt;0.05," 关注"," 复查"))</f>
        <v/>
      </c>
    </row>
    <row r="256">
      <c r="A256" t="n">
        <v>255</v>
      </c>
      <c r="B256" t="inlineStr">
        <is>
          <t>CAT6网线</t>
        </is>
      </c>
      <c r="C256" t="inlineStr">
        <is>
          <t>甲供</t>
        </is>
      </c>
      <c r="D256" t="inlineStr">
        <is>
          <t>m</t>
        </is>
      </c>
      <c r="E256" t="inlineStr">
        <is>
          <t>B2</t>
        </is>
      </c>
      <c r="F256" t="n">
        <v>17</v>
      </c>
      <c r="G256" s="4" t="n">
        <v>184.15</v>
      </c>
      <c r="H256" s="5" t="n"/>
      <c r="I256" s="4" t="n">
        <v>3130.55</v>
      </c>
      <c r="J256" s="6">
        <f>H256*F256</f>
        <v/>
      </c>
      <c r="K256" s="6">
        <f>J256-I256</f>
        <v/>
      </c>
      <c r="L256" s="7">
        <f>IF(I256=0,"",K256/I256)</f>
        <v/>
      </c>
      <c r="M256" s="6">
        <f>IF(ABS(L256)&lt;0.02," 合理",IF(ABS(L256)&lt;0.05," 关注"," 复查"))</f>
        <v/>
      </c>
    </row>
    <row r="257">
      <c r="A257" t="n">
        <v>256</v>
      </c>
      <c r="B257" t="inlineStr">
        <is>
          <t>CAT6网线</t>
        </is>
      </c>
      <c r="C257" t="inlineStr">
        <is>
          <t>甲供</t>
        </is>
      </c>
      <c r="D257" t="inlineStr">
        <is>
          <t>m</t>
        </is>
      </c>
      <c r="E257" t="inlineStr">
        <is>
          <t>C</t>
        </is>
      </c>
      <c r="F257" t="n">
        <v>17</v>
      </c>
      <c r="G257" s="4" t="n">
        <v>190.45</v>
      </c>
      <c r="H257" s="5" t="n"/>
      <c r="I257" s="4" t="n">
        <v>3237.65</v>
      </c>
      <c r="J257" s="6">
        <f>H257*F257</f>
        <v/>
      </c>
      <c r="K257" s="6">
        <f>J257-I257</f>
        <v/>
      </c>
      <c r="L257" s="7">
        <f>IF(I257=0,"",K257/I257)</f>
        <v/>
      </c>
      <c r="M257" s="6">
        <f>IF(ABS(L257)&lt;0.02," 合理",IF(ABS(L257)&lt;0.05," 关注"," 复查"))</f>
        <v/>
      </c>
    </row>
    <row r="258">
      <c r="A258" t="n">
        <v>257</v>
      </c>
      <c r="B258" t="inlineStr">
        <is>
          <t>CAT6网线</t>
        </is>
      </c>
      <c r="C258" t="inlineStr">
        <is>
          <t>甲供</t>
        </is>
      </c>
      <c r="D258" t="inlineStr">
        <is>
          <t>m</t>
        </is>
      </c>
      <c r="E258" t="inlineStr">
        <is>
          <t>D1</t>
        </is>
      </c>
      <c r="F258" t="n">
        <v>34</v>
      </c>
      <c r="G258" s="4" t="n">
        <v>219.75</v>
      </c>
      <c r="H258" s="5" t="n"/>
      <c r="I258" s="4" t="n">
        <v>7471.5</v>
      </c>
      <c r="J258" s="6">
        <f>H258*F258</f>
        <v/>
      </c>
      <c r="K258" s="6">
        <f>J258-I258</f>
        <v/>
      </c>
      <c r="L258" s="7">
        <f>IF(I258=0,"",K258/I258)</f>
        <v/>
      </c>
      <c r="M258" s="6">
        <f>IF(ABS(L258)&lt;0.02," 合理",IF(ABS(L258)&lt;0.05," 关注"," 复查"))</f>
        <v/>
      </c>
    </row>
    <row r="259">
      <c r="A259" t="n">
        <v>258</v>
      </c>
      <c r="B259" t="inlineStr">
        <is>
          <t>CAT6网线</t>
        </is>
      </c>
      <c r="C259" t="inlineStr">
        <is>
          <t>甲供</t>
        </is>
      </c>
      <c r="D259" t="inlineStr">
        <is>
          <t>m</t>
        </is>
      </c>
      <c r="E259" t="inlineStr">
        <is>
          <t>D2</t>
        </is>
      </c>
      <c r="F259" t="n">
        <v>15</v>
      </c>
      <c r="G259" s="4" t="n">
        <v>219.75</v>
      </c>
      <c r="H259" s="5" t="n"/>
      <c r="I259" s="4" t="n">
        <v>3296.25</v>
      </c>
      <c r="J259" s="6">
        <f>H259*F259</f>
        <v/>
      </c>
      <c r="K259" s="6">
        <f>J259-I259</f>
        <v/>
      </c>
      <c r="L259" s="7">
        <f>IF(I259=0,"",K259/I259)</f>
        <v/>
      </c>
      <c r="M259" s="6">
        <f>IF(ABS(L259)&lt;0.02," 合理",IF(ABS(L259)&lt;0.05," 关注"," 复查"))</f>
        <v/>
      </c>
    </row>
    <row r="260">
      <c r="A260" t="n">
        <v>259</v>
      </c>
      <c r="B260" t="inlineStr">
        <is>
          <t>CAT6网线</t>
        </is>
      </c>
      <c r="C260" t="inlineStr">
        <is>
          <t>甲供</t>
        </is>
      </c>
      <c r="D260" t="inlineStr">
        <is>
          <t>m</t>
        </is>
      </c>
      <c r="E260" t="inlineStr">
        <is>
          <t>D3</t>
        </is>
      </c>
      <c r="F260" t="n">
        <v>2</v>
      </c>
      <c r="G260" s="4" t="n">
        <v>219.75</v>
      </c>
      <c r="H260" s="5" t="n"/>
      <c r="I260" s="4" t="n">
        <v>439.5</v>
      </c>
      <c r="J260" s="6">
        <f>H260*F260</f>
        <v/>
      </c>
      <c r="K260" s="6">
        <f>J260-I260</f>
        <v/>
      </c>
      <c r="L260" s="7">
        <f>IF(I260=0,"",K260/I260)</f>
        <v/>
      </c>
      <c r="M260" s="6">
        <f>IF(ABS(L260)&lt;0.02," 合理",IF(ABS(L260)&lt;0.05," 关注"," 复查"))</f>
        <v/>
      </c>
    </row>
    <row r="261">
      <c r="A261" t="n">
        <v>260</v>
      </c>
      <c r="B261" t="inlineStr">
        <is>
          <t>CAT6网线</t>
        </is>
      </c>
      <c r="C261" t="inlineStr">
        <is>
          <t>甲供</t>
        </is>
      </c>
      <c r="D261" t="inlineStr">
        <is>
          <t>m</t>
        </is>
      </c>
      <c r="E261" t="inlineStr">
        <is>
          <t>D4</t>
        </is>
      </c>
      <c r="F261" t="n">
        <v>2</v>
      </c>
      <c r="G261" s="4" t="n">
        <v>219.75</v>
      </c>
      <c r="H261" s="5" t="n"/>
      <c r="I261" s="4" t="n">
        <v>439.5</v>
      </c>
      <c r="J261" s="6">
        <f>H261*F261</f>
        <v/>
      </c>
      <c r="K261" s="6">
        <f>J261-I261</f>
        <v/>
      </c>
      <c r="L261" s="7">
        <f>IF(I261=0,"",K261/I261)</f>
        <v/>
      </c>
      <c r="M261" s="6">
        <f>IF(ABS(L261)&lt;0.02," 合理",IF(ABS(L261)&lt;0.05," 关注"," 复查"))</f>
        <v/>
      </c>
    </row>
    <row r="262">
      <c r="A262" t="n">
        <v>261</v>
      </c>
      <c r="B262" t="inlineStr">
        <is>
          <t>CAT6网线</t>
        </is>
      </c>
      <c r="C262" t="inlineStr">
        <is>
          <t>甲供</t>
        </is>
      </c>
      <c r="D262" t="inlineStr">
        <is>
          <t>m</t>
        </is>
      </c>
      <c r="E262" t="inlineStr">
        <is>
          <t>E</t>
        </is>
      </c>
      <c r="F262" t="n">
        <v>28</v>
      </c>
      <c r="G262" s="4" t="n">
        <v>245.73</v>
      </c>
      <c r="H262" s="5" t="n"/>
      <c r="I262" s="4" t="n">
        <v>6880.44</v>
      </c>
      <c r="J262" s="6">
        <f>H262*F262</f>
        <v/>
      </c>
      <c r="K262" s="6">
        <f>J262-I262</f>
        <v/>
      </c>
      <c r="L262" s="7">
        <f>IF(I262=0,"",K262/I262)</f>
        <v/>
      </c>
      <c r="M262" s="6">
        <f>IF(ABS(L262)&lt;0.02," 合理",IF(ABS(L262)&lt;0.05," 关注"," 复查"))</f>
        <v/>
      </c>
    </row>
    <row r="263">
      <c r="A263" t="n">
        <v>262</v>
      </c>
      <c r="B263" t="inlineStr">
        <is>
          <t>BV-2.5mm2</t>
        </is>
      </c>
      <c r="C263" t="inlineStr">
        <is>
          <t>甲供</t>
        </is>
      </c>
      <c r="D263" t="inlineStr">
        <is>
          <t>m</t>
        </is>
      </c>
      <c r="E263" t="inlineStr">
        <is>
          <t>A1</t>
        </is>
      </c>
      <c r="F263" t="n">
        <v>34</v>
      </c>
      <c r="G263" s="4" t="n">
        <v>656.0700000000001</v>
      </c>
      <c r="H263" s="5" t="n"/>
      <c r="I263" s="4" t="n">
        <v>22306.38</v>
      </c>
      <c r="J263" s="6">
        <f>H263*F263</f>
        <v/>
      </c>
      <c r="K263" s="6">
        <f>J263-I263</f>
        <v/>
      </c>
      <c r="L263" s="7">
        <f>IF(I263=0,"",K263/I263)</f>
        <v/>
      </c>
      <c r="M263" s="6">
        <f>IF(ABS(L263)&lt;0.02," 合理",IF(ABS(L263)&lt;0.05," 关注"," 复查"))</f>
        <v/>
      </c>
    </row>
    <row r="264">
      <c r="A264" t="n">
        <v>263</v>
      </c>
      <c r="B264" t="inlineStr">
        <is>
          <t>BV-2.5mm2</t>
        </is>
      </c>
      <c r="C264" t="inlineStr">
        <is>
          <t>甲供</t>
        </is>
      </c>
      <c r="D264" t="inlineStr">
        <is>
          <t>m</t>
        </is>
      </c>
      <c r="E264" t="inlineStr">
        <is>
          <t>B1</t>
        </is>
      </c>
      <c r="F264" t="n">
        <v>68</v>
      </c>
      <c r="G264" s="4" t="n">
        <v>684.3200000000001</v>
      </c>
      <c r="H264" s="5" t="n"/>
      <c r="I264" s="4" t="n">
        <v>46533.76</v>
      </c>
      <c r="J264" s="6">
        <f>H264*F264</f>
        <v/>
      </c>
      <c r="K264" s="6">
        <f>J264-I264</f>
        <v/>
      </c>
      <c r="L264" s="7">
        <f>IF(I264=0,"",K264/I264)</f>
        <v/>
      </c>
      <c r="M264" s="6">
        <f>IF(ABS(L264)&lt;0.02," 合理",IF(ABS(L264)&lt;0.05," 关注"," 复查"))</f>
        <v/>
      </c>
    </row>
    <row r="265">
      <c r="A265" t="n">
        <v>264</v>
      </c>
      <c r="B265" t="inlineStr">
        <is>
          <t>BV-2.5mm2</t>
        </is>
      </c>
      <c r="C265" t="inlineStr">
        <is>
          <t>甲供</t>
        </is>
      </c>
      <c r="D265" t="inlineStr">
        <is>
          <t>m</t>
        </is>
      </c>
      <c r="E265" t="inlineStr">
        <is>
          <t>B2</t>
        </is>
      </c>
      <c r="F265" t="n">
        <v>17</v>
      </c>
      <c r="G265" s="4" t="n">
        <v>684.3200000000001</v>
      </c>
      <c r="H265" s="5" t="n"/>
      <c r="I265" s="4" t="n">
        <v>11633.44</v>
      </c>
      <c r="J265" s="6">
        <f>H265*F265</f>
        <v/>
      </c>
      <c r="K265" s="6">
        <f>J265-I265</f>
        <v/>
      </c>
      <c r="L265" s="7">
        <f>IF(I265=0,"",K265/I265)</f>
        <v/>
      </c>
      <c r="M265" s="6">
        <f>IF(ABS(L265)&lt;0.02," 合理",IF(ABS(L265)&lt;0.05," 关注"," 复查"))</f>
        <v/>
      </c>
    </row>
    <row r="266">
      <c r="A266" t="n">
        <v>265</v>
      </c>
      <c r="B266" t="inlineStr">
        <is>
          <t>BV-2.5mm2</t>
        </is>
      </c>
      <c r="C266" t="inlineStr">
        <is>
          <t>甲供</t>
        </is>
      </c>
      <c r="D266" t="inlineStr">
        <is>
          <t>m</t>
        </is>
      </c>
      <c r="E266" t="inlineStr">
        <is>
          <t>C</t>
        </is>
      </c>
      <c r="F266" t="n">
        <v>17</v>
      </c>
      <c r="G266" s="4" t="n">
        <v>640.75</v>
      </c>
      <c r="H266" s="5" t="n"/>
      <c r="I266" s="4" t="n">
        <v>10892.75</v>
      </c>
      <c r="J266" s="6">
        <f>H266*F266</f>
        <v/>
      </c>
      <c r="K266" s="6">
        <f>J266-I266</f>
        <v/>
      </c>
      <c r="L266" s="7">
        <f>IF(I266=0,"",K266/I266)</f>
        <v/>
      </c>
      <c r="M266" s="6">
        <f>IF(ABS(L266)&lt;0.02," 合理",IF(ABS(L266)&lt;0.05," 关注"," 复查"))</f>
        <v/>
      </c>
    </row>
    <row r="267">
      <c r="A267" t="n">
        <v>266</v>
      </c>
      <c r="B267" t="inlineStr">
        <is>
          <t>BV-2.5mm2</t>
        </is>
      </c>
      <c r="C267" t="inlineStr">
        <is>
          <t>甲供</t>
        </is>
      </c>
      <c r="D267" t="inlineStr">
        <is>
          <t>m</t>
        </is>
      </c>
      <c r="E267" t="inlineStr">
        <is>
          <t>D1</t>
        </is>
      </c>
      <c r="F267" t="n">
        <v>34</v>
      </c>
      <c r="G267" s="4" t="n">
        <v>652.73</v>
      </c>
      <c r="H267" s="5" t="n"/>
      <c r="I267" s="4" t="n">
        <v>22192.82</v>
      </c>
      <c r="J267" s="6">
        <f>H267*F267</f>
        <v/>
      </c>
      <c r="K267" s="6">
        <f>J267-I267</f>
        <v/>
      </c>
      <c r="L267" s="7">
        <f>IF(I267=0,"",K267/I267)</f>
        <v/>
      </c>
      <c r="M267" s="6">
        <f>IF(ABS(L267)&lt;0.02," 合理",IF(ABS(L267)&lt;0.05," 关注"," 复查"))</f>
        <v/>
      </c>
    </row>
    <row r="268">
      <c r="A268" t="n">
        <v>267</v>
      </c>
      <c r="B268" t="inlineStr">
        <is>
          <t>BV-2.5mm2</t>
        </is>
      </c>
      <c r="C268" t="inlineStr">
        <is>
          <t>甲供</t>
        </is>
      </c>
      <c r="D268" t="inlineStr">
        <is>
          <t>m</t>
        </is>
      </c>
      <c r="E268" t="inlineStr">
        <is>
          <t>D2</t>
        </is>
      </c>
      <c r="F268" t="n">
        <v>15</v>
      </c>
      <c r="G268" s="4" t="n">
        <v>652.73</v>
      </c>
      <c r="H268" s="5" t="n"/>
      <c r="I268" s="4" t="n">
        <v>9790.950000000001</v>
      </c>
      <c r="J268" s="6">
        <f>H268*F268</f>
        <v/>
      </c>
      <c r="K268" s="6">
        <f>J268-I268</f>
        <v/>
      </c>
      <c r="L268" s="7">
        <f>IF(I268=0,"",K268/I268)</f>
        <v/>
      </c>
      <c r="M268" s="6">
        <f>IF(ABS(L268)&lt;0.02," 合理",IF(ABS(L268)&lt;0.05," 关注"," 复查"))</f>
        <v/>
      </c>
    </row>
    <row r="269">
      <c r="A269" t="n">
        <v>268</v>
      </c>
      <c r="B269" t="inlineStr">
        <is>
          <t>BV-2.5mm2</t>
        </is>
      </c>
      <c r="C269" t="inlineStr">
        <is>
          <t>甲供</t>
        </is>
      </c>
      <c r="D269" t="inlineStr">
        <is>
          <t>m</t>
        </is>
      </c>
      <c r="E269" t="inlineStr">
        <is>
          <t>D3</t>
        </is>
      </c>
      <c r="F269" t="n">
        <v>2</v>
      </c>
      <c r="G269" s="4" t="n">
        <v>652.73</v>
      </c>
      <c r="H269" s="5" t="n"/>
      <c r="I269" s="4" t="n">
        <v>1305.46</v>
      </c>
      <c r="J269" s="6">
        <f>H269*F269</f>
        <v/>
      </c>
      <c r="K269" s="6">
        <f>J269-I269</f>
        <v/>
      </c>
      <c r="L269" s="7">
        <f>IF(I269=0,"",K269/I269)</f>
        <v/>
      </c>
      <c r="M269" s="6">
        <f>IF(ABS(L269)&lt;0.02," 合理",IF(ABS(L269)&lt;0.05," 关注"," 复查"))</f>
        <v/>
      </c>
    </row>
    <row r="270">
      <c r="A270" t="n">
        <v>269</v>
      </c>
      <c r="B270" t="inlineStr">
        <is>
          <t>BV-2.5mm2</t>
        </is>
      </c>
      <c r="C270" t="inlineStr">
        <is>
          <t>甲供</t>
        </is>
      </c>
      <c r="D270" t="inlineStr">
        <is>
          <t>m</t>
        </is>
      </c>
      <c r="E270" t="inlineStr">
        <is>
          <t>D4</t>
        </is>
      </c>
      <c r="F270" t="n">
        <v>2</v>
      </c>
      <c r="G270" s="4" t="n">
        <v>652.73</v>
      </c>
      <c r="H270" s="5" t="n"/>
      <c r="I270" s="4" t="n">
        <v>1305.46</v>
      </c>
      <c r="J270" s="6">
        <f>H270*F270</f>
        <v/>
      </c>
      <c r="K270" s="6">
        <f>J270-I270</f>
        <v/>
      </c>
      <c r="L270" s="7">
        <f>IF(I270=0,"",K270/I270)</f>
        <v/>
      </c>
      <c r="M270" s="6">
        <f>IF(ABS(L270)&lt;0.02," 合理",IF(ABS(L270)&lt;0.05," 关注"," 复查"))</f>
        <v/>
      </c>
    </row>
    <row r="271">
      <c r="A271" t="n">
        <v>270</v>
      </c>
      <c r="B271" t="inlineStr">
        <is>
          <t>BV-2.5mm2</t>
        </is>
      </c>
      <c r="C271" t="inlineStr">
        <is>
          <t>甲供</t>
        </is>
      </c>
      <c r="D271" t="inlineStr">
        <is>
          <t>m</t>
        </is>
      </c>
      <c r="E271" t="inlineStr">
        <is>
          <t>E</t>
        </is>
      </c>
      <c r="F271" t="n">
        <v>28</v>
      </c>
      <c r="G271" s="4" t="n">
        <v>734.3200000000001</v>
      </c>
      <c r="H271" s="5" t="n"/>
      <c r="I271" s="4" t="n">
        <v>20560.96</v>
      </c>
      <c r="J271" s="6">
        <f>H271*F271</f>
        <v/>
      </c>
      <c r="K271" s="6">
        <f>J271-I271</f>
        <v/>
      </c>
      <c r="L271" s="7">
        <f>IF(I271=0,"",K271/I271)</f>
        <v/>
      </c>
      <c r="M271" s="6">
        <f>IF(ABS(L271)&lt;0.02," 合理",IF(ABS(L271)&lt;0.05," 关注"," 复查"))</f>
        <v/>
      </c>
    </row>
    <row r="272">
      <c r="A272" t="n">
        <v>271</v>
      </c>
      <c r="B272" t="inlineStr">
        <is>
          <t>BV-4mm2</t>
        </is>
      </c>
      <c r="C272" t="inlineStr">
        <is>
          <t>甲供</t>
        </is>
      </c>
      <c r="D272" t="inlineStr">
        <is>
          <t>m</t>
        </is>
      </c>
      <c r="E272" t="inlineStr">
        <is>
          <t>A1</t>
        </is>
      </c>
      <c r="F272" t="n">
        <v>34</v>
      </c>
      <c r="G272" s="4" t="n">
        <v>469.5</v>
      </c>
      <c r="H272" s="5" t="n"/>
      <c r="I272" s="4" t="n">
        <v>15963</v>
      </c>
      <c r="J272" s="6">
        <f>H272*F272</f>
        <v/>
      </c>
      <c r="K272" s="6">
        <f>J272-I272</f>
        <v/>
      </c>
      <c r="L272" s="7">
        <f>IF(I272=0,"",K272/I272)</f>
        <v/>
      </c>
      <c r="M272" s="6">
        <f>IF(ABS(L272)&lt;0.02," 合理",IF(ABS(L272)&lt;0.05," 关注"," 复查"))</f>
        <v/>
      </c>
    </row>
    <row r="273">
      <c r="A273" t="n">
        <v>272</v>
      </c>
      <c r="B273" t="inlineStr">
        <is>
          <t>BV-4mm2</t>
        </is>
      </c>
      <c r="C273" t="inlineStr">
        <is>
          <t>甲供</t>
        </is>
      </c>
      <c r="D273" t="inlineStr">
        <is>
          <t>m</t>
        </is>
      </c>
      <c r="E273" t="inlineStr">
        <is>
          <t>B1</t>
        </is>
      </c>
      <c r="F273" t="n">
        <v>68</v>
      </c>
      <c r="G273" s="4" t="n">
        <v>485</v>
      </c>
      <c r="H273" s="5" t="n"/>
      <c r="I273" s="4" t="n">
        <v>32980</v>
      </c>
      <c r="J273" s="6">
        <f>H273*F273</f>
        <v/>
      </c>
      <c r="K273" s="6">
        <f>J273-I273</f>
        <v/>
      </c>
      <c r="L273" s="7">
        <f>IF(I273=0,"",K273/I273)</f>
        <v/>
      </c>
      <c r="M273" s="6">
        <f>IF(ABS(L273)&lt;0.02," 合理",IF(ABS(L273)&lt;0.05," 关注"," 复查"))</f>
        <v/>
      </c>
    </row>
    <row r="274">
      <c r="A274" t="n">
        <v>273</v>
      </c>
      <c r="B274" t="inlineStr">
        <is>
          <t>BV-4mm2</t>
        </is>
      </c>
      <c r="C274" t="inlineStr">
        <is>
          <t>甲供</t>
        </is>
      </c>
      <c r="D274" t="inlineStr">
        <is>
          <t>m</t>
        </is>
      </c>
      <c r="E274" t="inlineStr">
        <is>
          <t>B2</t>
        </is>
      </c>
      <c r="F274" t="n">
        <v>17</v>
      </c>
      <c r="G274" s="4" t="n">
        <v>485</v>
      </c>
      <c r="H274" s="5" t="n"/>
      <c r="I274" s="4" t="n">
        <v>8245</v>
      </c>
      <c r="J274" s="6">
        <f>H274*F274</f>
        <v/>
      </c>
      <c r="K274" s="6">
        <f>J274-I274</f>
        <v/>
      </c>
      <c r="L274" s="7">
        <f>IF(I274=0,"",K274/I274)</f>
        <v/>
      </c>
      <c r="M274" s="6">
        <f>IF(ABS(L274)&lt;0.02," 合理",IF(ABS(L274)&lt;0.05," 关注"," 复查"))</f>
        <v/>
      </c>
    </row>
    <row r="275">
      <c r="A275" t="n">
        <v>274</v>
      </c>
      <c r="B275" t="inlineStr">
        <is>
          <t>BV-4mm2</t>
        </is>
      </c>
      <c r="C275" t="inlineStr">
        <is>
          <t>甲供</t>
        </is>
      </c>
      <c r="D275" t="inlineStr">
        <is>
          <t>m</t>
        </is>
      </c>
      <c r="E275" t="inlineStr">
        <is>
          <t>C</t>
        </is>
      </c>
      <c r="F275" t="n">
        <v>17</v>
      </c>
      <c r="G275" s="4" t="n">
        <v>551.77</v>
      </c>
      <c r="H275" s="5" t="n"/>
      <c r="I275" s="4" t="n">
        <v>9380.09</v>
      </c>
      <c r="J275" s="6">
        <f>H275*F275</f>
        <v/>
      </c>
      <c r="K275" s="6">
        <f>J275-I275</f>
        <v/>
      </c>
      <c r="L275" s="7">
        <f>IF(I275=0,"",K275/I275)</f>
        <v/>
      </c>
      <c r="M275" s="6">
        <f>IF(ABS(L275)&lt;0.02," 合理",IF(ABS(L275)&lt;0.05," 关注"," 复查"))</f>
        <v/>
      </c>
    </row>
    <row r="276">
      <c r="A276" t="n">
        <v>275</v>
      </c>
      <c r="B276" t="inlineStr">
        <is>
          <t>BV-4mm2</t>
        </is>
      </c>
      <c r="C276" t="inlineStr">
        <is>
          <t>甲供</t>
        </is>
      </c>
      <c r="D276" t="inlineStr">
        <is>
          <t>m</t>
        </is>
      </c>
      <c r="E276" t="inlineStr">
        <is>
          <t>D1</t>
        </is>
      </c>
      <c r="F276" t="n">
        <v>34</v>
      </c>
      <c r="G276" s="4" t="n">
        <v>466.67</v>
      </c>
      <c r="H276" s="5" t="n"/>
      <c r="I276" s="4" t="n">
        <v>15866.78</v>
      </c>
      <c r="J276" s="6">
        <f>H276*F276</f>
        <v/>
      </c>
      <c r="K276" s="6">
        <f>J276-I276</f>
        <v/>
      </c>
      <c r="L276" s="7">
        <f>IF(I276=0,"",K276/I276)</f>
        <v/>
      </c>
      <c r="M276" s="6">
        <f>IF(ABS(L276)&lt;0.02," 合理",IF(ABS(L276)&lt;0.05," 关注"," 复查"))</f>
        <v/>
      </c>
    </row>
    <row r="277">
      <c r="A277" t="n">
        <v>276</v>
      </c>
      <c r="B277" t="inlineStr">
        <is>
          <t>BV-4mm2</t>
        </is>
      </c>
      <c r="C277" t="inlineStr">
        <is>
          <t>甲供</t>
        </is>
      </c>
      <c r="D277" t="inlineStr">
        <is>
          <t>m</t>
        </is>
      </c>
      <c r="E277" t="inlineStr">
        <is>
          <t>D2</t>
        </is>
      </c>
      <c r="F277" t="n">
        <v>15</v>
      </c>
      <c r="G277" s="4" t="n">
        <v>466.67</v>
      </c>
      <c r="H277" s="5" t="n"/>
      <c r="I277" s="4" t="n">
        <v>7000.05</v>
      </c>
      <c r="J277" s="6">
        <f>H277*F277</f>
        <v/>
      </c>
      <c r="K277" s="6">
        <f>J277-I277</f>
        <v/>
      </c>
      <c r="L277" s="7">
        <f>IF(I277=0,"",K277/I277)</f>
        <v/>
      </c>
      <c r="M277" s="6">
        <f>IF(ABS(L277)&lt;0.02," 合理",IF(ABS(L277)&lt;0.05," 关注"," 复查"))</f>
        <v/>
      </c>
    </row>
    <row r="278">
      <c r="A278" t="n">
        <v>277</v>
      </c>
      <c r="B278" t="inlineStr">
        <is>
          <t>BV-4mm2</t>
        </is>
      </c>
      <c r="C278" t="inlineStr">
        <is>
          <t>甲供</t>
        </is>
      </c>
      <c r="D278" t="inlineStr">
        <is>
          <t>m</t>
        </is>
      </c>
      <c r="E278" t="inlineStr">
        <is>
          <t>D3</t>
        </is>
      </c>
      <c r="F278" t="n">
        <v>2</v>
      </c>
      <c r="G278" s="4" t="n">
        <v>466.67</v>
      </c>
      <c r="H278" s="5" t="n"/>
      <c r="I278" s="4" t="n">
        <v>933.34</v>
      </c>
      <c r="J278" s="6">
        <f>H278*F278</f>
        <v/>
      </c>
      <c r="K278" s="6">
        <f>J278-I278</f>
        <v/>
      </c>
      <c r="L278" s="7">
        <f>IF(I278=0,"",K278/I278)</f>
        <v/>
      </c>
      <c r="M278" s="6">
        <f>IF(ABS(L278)&lt;0.02," 合理",IF(ABS(L278)&lt;0.05," 关注"," 复查"))</f>
        <v/>
      </c>
    </row>
    <row r="279">
      <c r="A279" t="n">
        <v>278</v>
      </c>
      <c r="B279" t="inlineStr">
        <is>
          <t>BV-4mm2</t>
        </is>
      </c>
      <c r="C279" t="inlineStr">
        <is>
          <t>甲供</t>
        </is>
      </c>
      <c r="D279" t="inlineStr">
        <is>
          <t>m</t>
        </is>
      </c>
      <c r="E279" t="inlineStr">
        <is>
          <t>D4</t>
        </is>
      </c>
      <c r="F279" t="n">
        <v>2</v>
      </c>
      <c r="G279" s="4" t="n">
        <v>466.67</v>
      </c>
      <c r="H279" s="5" t="n"/>
      <c r="I279" s="4" t="n">
        <v>933.34</v>
      </c>
      <c r="J279" s="6">
        <f>H279*F279</f>
        <v/>
      </c>
      <c r="K279" s="6">
        <f>J279-I279</f>
        <v/>
      </c>
      <c r="L279" s="7">
        <f>IF(I279=0,"",K279/I279)</f>
        <v/>
      </c>
      <c r="M279" s="6">
        <f>IF(ABS(L279)&lt;0.02," 合理",IF(ABS(L279)&lt;0.05," 关注"," 复查"))</f>
        <v/>
      </c>
    </row>
    <row r="280">
      <c r="A280" t="n">
        <v>279</v>
      </c>
      <c r="B280" t="inlineStr">
        <is>
          <t>BV-4mm2</t>
        </is>
      </c>
      <c r="C280" t="inlineStr">
        <is>
          <t>甲供</t>
        </is>
      </c>
      <c r="D280" t="inlineStr">
        <is>
          <t>m</t>
        </is>
      </c>
      <c r="E280" t="inlineStr">
        <is>
          <t>E</t>
        </is>
      </c>
      <c r="F280" t="n">
        <v>28</v>
      </c>
      <c r="G280" s="4" t="n">
        <v>525</v>
      </c>
      <c r="H280" s="5" t="n"/>
      <c r="I280" s="4" t="n">
        <v>14700</v>
      </c>
      <c r="J280" s="6">
        <f>H280*F280</f>
        <v/>
      </c>
      <c r="K280" s="6">
        <f>J280-I280</f>
        <v/>
      </c>
      <c r="L280" s="7">
        <f>IF(I280=0,"",K280/I280)</f>
        <v/>
      </c>
      <c r="M280" s="6">
        <f>IF(ABS(L280)&lt;0.02," 合理",IF(ABS(L280)&lt;0.05," 关注"," 复查"))</f>
        <v/>
      </c>
    </row>
    <row r="281">
      <c r="A281" t="n">
        <v>280</v>
      </c>
      <c r="B281" t="inlineStr">
        <is>
          <t>BV-6mm2</t>
        </is>
      </c>
      <c r="C281" t="inlineStr">
        <is>
          <t>甲供</t>
        </is>
      </c>
      <c r="D281" t="inlineStr">
        <is>
          <t>m</t>
        </is>
      </c>
      <c r="E281" t="inlineStr">
        <is>
          <t>B1</t>
        </is>
      </c>
      <c r="F281" t="n">
        <v>68</v>
      </c>
      <c r="G281" s="4" t="n">
        <v>132</v>
      </c>
      <c r="H281" s="5" t="n"/>
      <c r="I281" s="4" t="n">
        <v>8976</v>
      </c>
      <c r="J281" s="6">
        <f>H281*F281</f>
        <v/>
      </c>
      <c r="K281" s="6">
        <f>J281-I281</f>
        <v/>
      </c>
      <c r="L281" s="7">
        <f>IF(I281=0,"",K281/I281)</f>
        <v/>
      </c>
      <c r="M281" s="6">
        <f>IF(ABS(L281)&lt;0.02," 合理",IF(ABS(L281)&lt;0.05," 关注"," 复查"))</f>
        <v/>
      </c>
    </row>
    <row r="282">
      <c r="A282" t="n">
        <v>281</v>
      </c>
      <c r="B282" t="inlineStr">
        <is>
          <t>BV-6mm2</t>
        </is>
      </c>
      <c r="C282" t="inlineStr">
        <is>
          <t>甲供</t>
        </is>
      </c>
      <c r="D282" t="inlineStr">
        <is>
          <t>m</t>
        </is>
      </c>
      <c r="E282" t="inlineStr">
        <is>
          <t>B2</t>
        </is>
      </c>
      <c r="F282" t="n">
        <v>17</v>
      </c>
      <c r="G282" s="4" t="n">
        <v>132</v>
      </c>
      <c r="H282" s="5" t="n"/>
      <c r="I282" s="4" t="n">
        <v>2244</v>
      </c>
      <c r="J282" s="6">
        <f>H282*F282</f>
        <v/>
      </c>
      <c r="K282" s="6">
        <f>J282-I282</f>
        <v/>
      </c>
      <c r="L282" s="7">
        <f>IF(I282=0,"",K282/I282)</f>
        <v/>
      </c>
      <c r="M282" s="6">
        <f>IF(ABS(L282)&lt;0.02," 合理",IF(ABS(L282)&lt;0.05," 关注"," 复查"))</f>
        <v/>
      </c>
    </row>
    <row r="283">
      <c r="A283" t="n">
        <v>282</v>
      </c>
      <c r="B283" t="inlineStr">
        <is>
          <t>BV-6mm2</t>
        </is>
      </c>
      <c r="C283" t="inlineStr">
        <is>
          <t>甲供</t>
        </is>
      </c>
      <c r="D283" t="inlineStr">
        <is>
          <t>m</t>
        </is>
      </c>
      <c r="E283" t="inlineStr">
        <is>
          <t>C</t>
        </is>
      </c>
      <c r="F283" t="n">
        <v>17</v>
      </c>
      <c r="G283" s="4" t="n">
        <v>130.59</v>
      </c>
      <c r="H283" s="5" t="n"/>
      <c r="I283" s="4" t="n">
        <v>2220.03</v>
      </c>
      <c r="J283" s="6">
        <f>H283*F283</f>
        <v/>
      </c>
      <c r="K283" s="6">
        <f>J283-I283</f>
        <v/>
      </c>
      <c r="L283" s="7">
        <f>IF(I283=0,"",K283/I283)</f>
        <v/>
      </c>
      <c r="M283" s="6">
        <f>IF(ABS(L283)&lt;0.02," 合理",IF(ABS(L283)&lt;0.05," 关注"," 复查"))</f>
        <v/>
      </c>
    </row>
    <row r="284">
      <c r="A284" t="n">
        <v>283</v>
      </c>
      <c r="B284" t="inlineStr">
        <is>
          <t>BV-6mm2</t>
        </is>
      </c>
      <c r="C284" t="inlineStr">
        <is>
          <t>甲供</t>
        </is>
      </c>
      <c r="D284" t="inlineStr">
        <is>
          <t>m</t>
        </is>
      </c>
      <c r="E284" t="inlineStr">
        <is>
          <t>D1</t>
        </is>
      </c>
      <c r="F284" t="n">
        <v>34</v>
      </c>
      <c r="G284" s="4" t="n">
        <v>180.5</v>
      </c>
      <c r="H284" s="5" t="n"/>
      <c r="I284" s="4" t="n">
        <v>6137</v>
      </c>
      <c r="J284" s="6">
        <f>H284*F284</f>
        <v/>
      </c>
      <c r="K284" s="6">
        <f>J284-I284</f>
        <v/>
      </c>
      <c r="L284" s="7">
        <f>IF(I284=0,"",K284/I284)</f>
        <v/>
      </c>
      <c r="M284" s="6">
        <f>IF(ABS(L284)&lt;0.02," 合理",IF(ABS(L284)&lt;0.05," 关注"," 复查"))</f>
        <v/>
      </c>
    </row>
    <row r="285">
      <c r="A285" t="n">
        <v>284</v>
      </c>
      <c r="B285" t="inlineStr">
        <is>
          <t>BV-6mm2</t>
        </is>
      </c>
      <c r="C285" t="inlineStr">
        <is>
          <t>甲供</t>
        </is>
      </c>
      <c r="D285" t="inlineStr">
        <is>
          <t>m</t>
        </is>
      </c>
      <c r="E285" t="inlineStr">
        <is>
          <t>D2</t>
        </is>
      </c>
      <c r="F285" t="n">
        <v>15</v>
      </c>
      <c r="G285" s="4" t="n">
        <v>180.5</v>
      </c>
      <c r="H285" s="5" t="n"/>
      <c r="I285" s="4" t="n">
        <v>2707.5</v>
      </c>
      <c r="J285" s="6">
        <f>H285*F285</f>
        <v/>
      </c>
      <c r="K285" s="6">
        <f>J285-I285</f>
        <v/>
      </c>
      <c r="L285" s="7">
        <f>IF(I285=0,"",K285/I285)</f>
        <v/>
      </c>
      <c r="M285" s="6">
        <f>IF(ABS(L285)&lt;0.02," 合理",IF(ABS(L285)&lt;0.05," 关注"," 复查"))</f>
        <v/>
      </c>
    </row>
    <row r="286">
      <c r="A286" t="n">
        <v>285</v>
      </c>
      <c r="B286" t="inlineStr">
        <is>
          <t>BV-6mm2</t>
        </is>
      </c>
      <c r="C286" t="inlineStr">
        <is>
          <t>甲供</t>
        </is>
      </c>
      <c r="D286" t="inlineStr">
        <is>
          <t>m</t>
        </is>
      </c>
      <c r="E286" t="inlineStr">
        <is>
          <t>D3</t>
        </is>
      </c>
      <c r="F286" t="n">
        <v>2</v>
      </c>
      <c r="G286" s="4" t="n">
        <v>180.5</v>
      </c>
      <c r="H286" s="5" t="n"/>
      <c r="I286" s="4" t="n">
        <v>361</v>
      </c>
      <c r="J286" s="6">
        <f>H286*F286</f>
        <v/>
      </c>
      <c r="K286" s="6">
        <f>J286-I286</f>
        <v/>
      </c>
      <c r="L286" s="7">
        <f>IF(I286=0,"",K286/I286)</f>
        <v/>
      </c>
      <c r="M286" s="6">
        <f>IF(ABS(L286)&lt;0.02," 合理",IF(ABS(L286)&lt;0.05," 关注"," 复查"))</f>
        <v/>
      </c>
    </row>
    <row r="287">
      <c r="A287" t="n">
        <v>286</v>
      </c>
      <c r="B287" t="inlineStr">
        <is>
          <t>BV-6mm2</t>
        </is>
      </c>
      <c r="C287" t="inlineStr">
        <is>
          <t>甲供</t>
        </is>
      </c>
      <c r="D287" t="inlineStr">
        <is>
          <t>m</t>
        </is>
      </c>
      <c r="E287" t="inlineStr">
        <is>
          <t>D4</t>
        </is>
      </c>
      <c r="F287" t="n">
        <v>2</v>
      </c>
      <c r="G287" s="4" t="n">
        <v>180.5</v>
      </c>
      <c r="H287" s="5" t="n"/>
      <c r="I287" s="4" t="n">
        <v>361</v>
      </c>
      <c r="J287" s="6">
        <f>H287*F287</f>
        <v/>
      </c>
      <c r="K287" s="6">
        <f>J287-I287</f>
        <v/>
      </c>
      <c r="L287" s="7">
        <f>IF(I287=0,"",K287/I287)</f>
        <v/>
      </c>
      <c r="M287" s="6">
        <f>IF(ABS(L287)&lt;0.02," 合理",IF(ABS(L287)&lt;0.05," 关注"," 复查"))</f>
        <v/>
      </c>
    </row>
    <row r="288">
      <c r="A288" t="n">
        <v>287</v>
      </c>
      <c r="B288" t="inlineStr">
        <is>
          <t>BV-6mm2</t>
        </is>
      </c>
      <c r="C288" t="inlineStr">
        <is>
          <t>甲供</t>
        </is>
      </c>
      <c r="D288" t="inlineStr">
        <is>
          <t>m</t>
        </is>
      </c>
      <c r="E288" t="inlineStr">
        <is>
          <t>E</t>
        </is>
      </c>
      <c r="F288" t="n">
        <v>28</v>
      </c>
      <c r="G288" s="4" t="n">
        <v>196.5</v>
      </c>
      <c r="H288" s="5" t="n"/>
      <c r="I288" s="4" t="n">
        <v>5502</v>
      </c>
      <c r="J288" s="6">
        <f>H288*F288</f>
        <v/>
      </c>
      <c r="K288" s="6">
        <f>J288-I288</f>
        <v/>
      </c>
      <c r="L288" s="7">
        <f>IF(I288=0,"",K288/I288)</f>
        <v/>
      </c>
      <c r="M288" s="6">
        <f>IF(ABS(L288)&lt;0.02," 合理",IF(ABS(L288)&lt;0.05," 关注"," 复查"))</f>
        <v/>
      </c>
    </row>
    <row r="289">
      <c r="A289" t="n">
        <v>288</v>
      </c>
      <c r="B289" t="inlineStr">
        <is>
          <t>BV-10mm2</t>
        </is>
      </c>
      <c r="C289" t="inlineStr">
        <is>
          <t>甲供</t>
        </is>
      </c>
      <c r="D289" t="inlineStr">
        <is>
          <t>m</t>
        </is>
      </c>
      <c r="E289" t="inlineStr">
        <is>
          <t>A1</t>
        </is>
      </c>
      <c r="F289" t="n">
        <v>34</v>
      </c>
      <c r="G289" s="4" t="n">
        <v>29.1</v>
      </c>
      <c r="H289" s="5" t="n"/>
      <c r="I289" s="4" t="n">
        <v>989.4</v>
      </c>
      <c r="J289" s="6">
        <f>H289*F289</f>
        <v/>
      </c>
      <c r="K289" s="6">
        <f>J289-I289</f>
        <v/>
      </c>
      <c r="L289" s="7">
        <f>IF(I289=0,"",K289/I289)</f>
        <v/>
      </c>
      <c r="M289" s="6">
        <f>IF(ABS(L289)&lt;0.02," 合理",IF(ABS(L289)&lt;0.05," 关注"," 复查"))</f>
        <v/>
      </c>
    </row>
    <row r="290">
      <c r="A290" t="n">
        <v>289</v>
      </c>
      <c r="B290" t="inlineStr">
        <is>
          <t>WDZ-BYJ-6mm2</t>
        </is>
      </c>
      <c r="C290" t="inlineStr">
        <is>
          <t>甲供</t>
        </is>
      </c>
      <c r="D290" t="inlineStr">
        <is>
          <t>m</t>
        </is>
      </c>
      <c r="E290" t="inlineStr">
        <is>
          <t>A1</t>
        </is>
      </c>
      <c r="F290" t="n">
        <v>34</v>
      </c>
      <c r="G290" s="4" t="n">
        <v>92.40000000000001</v>
      </c>
      <c r="H290" s="5" t="n"/>
      <c r="I290" s="4" t="n">
        <v>3141.6</v>
      </c>
      <c r="J290" s="6">
        <f>H290*F290</f>
        <v/>
      </c>
      <c r="K290" s="6">
        <f>J290-I290</f>
        <v/>
      </c>
      <c r="L290" s="7">
        <f>IF(I290=0,"",K290/I290)</f>
        <v/>
      </c>
      <c r="M290" s="6">
        <f>IF(ABS(L290)&lt;0.02," 合理",IF(ABS(L290)&lt;0.05," 关注"," 复查"))</f>
        <v/>
      </c>
    </row>
    <row r="291">
      <c r="A291" t="n">
        <v>290</v>
      </c>
      <c r="B291" t="inlineStr">
        <is>
          <t>WDZ-BYJ-6mm2</t>
        </is>
      </c>
      <c r="C291" t="inlineStr">
        <is>
          <t>甲供</t>
        </is>
      </c>
      <c r="D291" t="inlineStr">
        <is>
          <t>m</t>
        </is>
      </c>
      <c r="E291" t="inlineStr">
        <is>
          <t>B1</t>
        </is>
      </c>
      <c r="F291" t="n">
        <v>68</v>
      </c>
      <c r="G291" s="4" t="n">
        <v>102.75</v>
      </c>
      <c r="H291" s="5" t="n"/>
      <c r="I291" s="4" t="n">
        <v>6987</v>
      </c>
      <c r="J291" s="6">
        <f>H291*F291</f>
        <v/>
      </c>
      <c r="K291" s="6">
        <f>J291-I291</f>
        <v/>
      </c>
      <c r="L291" s="7">
        <f>IF(I291=0,"",K291/I291)</f>
        <v/>
      </c>
      <c r="M291" s="6">
        <f>IF(ABS(L291)&lt;0.02," 合理",IF(ABS(L291)&lt;0.05," 关注"," 复查"))</f>
        <v/>
      </c>
    </row>
    <row r="292">
      <c r="A292" t="n">
        <v>291</v>
      </c>
      <c r="B292" t="inlineStr">
        <is>
          <t>WDZ-BYJ-6mm2</t>
        </is>
      </c>
      <c r="C292" t="inlineStr">
        <is>
          <t>甲供</t>
        </is>
      </c>
      <c r="D292" t="inlineStr">
        <is>
          <t>m</t>
        </is>
      </c>
      <c r="E292" t="inlineStr">
        <is>
          <t>B2</t>
        </is>
      </c>
      <c r="F292" t="n">
        <v>17</v>
      </c>
      <c r="G292" s="4" t="n">
        <v>102.75</v>
      </c>
      <c r="H292" s="5" t="n"/>
      <c r="I292" s="4" t="n">
        <v>1746.75</v>
      </c>
      <c r="J292" s="6">
        <f>H292*F292</f>
        <v/>
      </c>
      <c r="K292" s="6">
        <f>J292-I292</f>
        <v/>
      </c>
      <c r="L292" s="7">
        <f>IF(I292=0,"",K292/I292)</f>
        <v/>
      </c>
      <c r="M292" s="6">
        <f>IF(ABS(L292)&lt;0.02," 合理",IF(ABS(L292)&lt;0.05," 关注"," 复查"))</f>
        <v/>
      </c>
    </row>
    <row r="293">
      <c r="A293" t="n">
        <v>292</v>
      </c>
      <c r="B293" t="inlineStr">
        <is>
          <t>WDZ-BYJ-6mm2</t>
        </is>
      </c>
      <c r="C293" t="inlineStr">
        <is>
          <t>甲供</t>
        </is>
      </c>
      <c r="D293" t="inlineStr">
        <is>
          <t>m</t>
        </is>
      </c>
      <c r="E293" t="inlineStr">
        <is>
          <t>C</t>
        </is>
      </c>
      <c r="F293" t="n">
        <v>17</v>
      </c>
      <c r="G293" s="4" t="n">
        <v>110.71</v>
      </c>
      <c r="H293" s="5" t="n"/>
      <c r="I293" s="4" t="n">
        <v>1882.07</v>
      </c>
      <c r="J293" s="6">
        <f>H293*F293</f>
        <v/>
      </c>
      <c r="K293" s="6">
        <f>J293-I293</f>
        <v/>
      </c>
      <c r="L293" s="7">
        <f>IF(I293=0,"",K293/I293)</f>
        <v/>
      </c>
      <c r="M293" s="6">
        <f>IF(ABS(L293)&lt;0.02," 合理",IF(ABS(L293)&lt;0.05," 关注"," 复查"))</f>
        <v/>
      </c>
    </row>
    <row r="294">
      <c r="A294" t="n">
        <v>293</v>
      </c>
      <c r="B294" t="inlineStr">
        <is>
          <t>WDZ-BYJ-6mm2</t>
        </is>
      </c>
      <c r="C294" t="inlineStr">
        <is>
          <t>甲供</t>
        </is>
      </c>
      <c r="D294" t="inlineStr">
        <is>
          <t>m</t>
        </is>
      </c>
      <c r="E294" t="inlineStr">
        <is>
          <t>D1</t>
        </is>
      </c>
      <c r="F294" t="n">
        <v>34</v>
      </c>
      <c r="G294" s="4" t="n">
        <v>130.74</v>
      </c>
      <c r="H294" s="5" t="n"/>
      <c r="I294" s="4" t="n">
        <v>4445.16</v>
      </c>
      <c r="J294" s="6">
        <f>H294*F294</f>
        <v/>
      </c>
      <c r="K294" s="6">
        <f>J294-I294</f>
        <v/>
      </c>
      <c r="L294" s="7">
        <f>IF(I294=0,"",K294/I294)</f>
        <v/>
      </c>
      <c r="M294" s="6">
        <f>IF(ABS(L294)&lt;0.02," 合理",IF(ABS(L294)&lt;0.05," 关注"," 复查"))</f>
        <v/>
      </c>
    </row>
    <row r="295">
      <c r="A295" t="n">
        <v>294</v>
      </c>
      <c r="B295" t="inlineStr">
        <is>
          <t>WDZ-BYJ-6mm2</t>
        </is>
      </c>
      <c r="C295" t="inlineStr">
        <is>
          <t>甲供</t>
        </is>
      </c>
      <c r="D295" t="inlineStr">
        <is>
          <t>m</t>
        </is>
      </c>
      <c r="E295" t="inlineStr">
        <is>
          <t>D2</t>
        </is>
      </c>
      <c r="F295" t="n">
        <v>15</v>
      </c>
      <c r="G295" s="4" t="n">
        <v>130.74</v>
      </c>
      <c r="H295" s="5" t="n"/>
      <c r="I295" s="4" t="n">
        <v>1961.1</v>
      </c>
      <c r="J295" s="6">
        <f>H295*F295</f>
        <v/>
      </c>
      <c r="K295" s="6">
        <f>J295-I295</f>
        <v/>
      </c>
      <c r="L295" s="7">
        <f>IF(I295=0,"",K295/I295)</f>
        <v/>
      </c>
      <c r="M295" s="6">
        <f>IF(ABS(L295)&lt;0.02," 合理",IF(ABS(L295)&lt;0.05," 关注"," 复查"))</f>
        <v/>
      </c>
    </row>
    <row r="296">
      <c r="A296" t="n">
        <v>295</v>
      </c>
      <c r="B296" t="inlineStr">
        <is>
          <t>WDZ-BYJ-6mm2</t>
        </is>
      </c>
      <c r="C296" t="inlineStr">
        <is>
          <t>甲供</t>
        </is>
      </c>
      <c r="D296" t="inlineStr">
        <is>
          <t>m</t>
        </is>
      </c>
      <c r="E296" t="inlineStr">
        <is>
          <t>D3</t>
        </is>
      </c>
      <c r="F296" t="n">
        <v>2</v>
      </c>
      <c r="G296" s="4" t="n">
        <v>130.74</v>
      </c>
      <c r="H296" s="5" t="n"/>
      <c r="I296" s="4" t="n">
        <v>261.48</v>
      </c>
      <c r="J296" s="6">
        <f>H296*F296</f>
        <v/>
      </c>
      <c r="K296" s="6">
        <f>J296-I296</f>
        <v/>
      </c>
      <c r="L296" s="7">
        <f>IF(I296=0,"",K296/I296)</f>
        <v/>
      </c>
      <c r="M296" s="6">
        <f>IF(ABS(L296)&lt;0.02," 合理",IF(ABS(L296)&lt;0.05," 关注"," 复查"))</f>
        <v/>
      </c>
    </row>
    <row r="297">
      <c r="A297" t="n">
        <v>296</v>
      </c>
      <c r="B297" t="inlineStr">
        <is>
          <t>WDZ-BYJ-6mm2</t>
        </is>
      </c>
      <c r="C297" t="inlineStr">
        <is>
          <t>甲供</t>
        </is>
      </c>
      <c r="D297" t="inlineStr">
        <is>
          <t>m</t>
        </is>
      </c>
      <c r="E297" t="inlineStr">
        <is>
          <t>D4</t>
        </is>
      </c>
      <c r="F297" t="n">
        <v>2</v>
      </c>
      <c r="G297" s="4" t="n">
        <v>130.74</v>
      </c>
      <c r="H297" s="5" t="n"/>
      <c r="I297" s="4" t="n">
        <v>261.48</v>
      </c>
      <c r="J297" s="6">
        <f>H297*F297</f>
        <v/>
      </c>
      <c r="K297" s="6">
        <f>J297-I297</f>
        <v/>
      </c>
      <c r="L297" s="7">
        <f>IF(I297=0,"",K297/I297)</f>
        <v/>
      </c>
      <c r="M297" s="6">
        <f>IF(ABS(L297)&lt;0.02," 合理",IF(ABS(L297)&lt;0.05," 关注"," 复查"))</f>
        <v/>
      </c>
    </row>
    <row r="298">
      <c r="A298" t="n">
        <v>297</v>
      </c>
      <c r="B298" t="inlineStr">
        <is>
          <t>WDZ-BYJ-6mm2</t>
        </is>
      </c>
      <c r="C298" t="inlineStr">
        <is>
          <t>甲供</t>
        </is>
      </c>
      <c r="D298" t="inlineStr">
        <is>
          <t>m</t>
        </is>
      </c>
      <c r="E298" t="inlineStr">
        <is>
          <t>E</t>
        </is>
      </c>
      <c r="F298" t="n">
        <v>28</v>
      </c>
      <c r="G298" s="4" t="n">
        <v>145.63</v>
      </c>
      <c r="H298" s="5" t="n"/>
      <c r="I298" s="4" t="n">
        <v>4077.64</v>
      </c>
      <c r="J298" s="6">
        <f>H298*F298</f>
        <v/>
      </c>
      <c r="K298" s="6">
        <f>J298-I298</f>
        <v/>
      </c>
      <c r="L298" s="7">
        <f>IF(I298=0,"",K298/I298)</f>
        <v/>
      </c>
      <c r="M298" s="6">
        <f>IF(ABS(L298)&lt;0.02," 合理",IF(ABS(L298)&lt;0.05," 关注"," 复查"))</f>
        <v/>
      </c>
    </row>
    <row r="299">
      <c r="A299" t="n">
        <v>298</v>
      </c>
      <c r="B299" t="inlineStr">
        <is>
          <t>RVV-2x0.5</t>
        </is>
      </c>
      <c r="C299" t="inlineStr">
        <is>
          <t>甲供</t>
        </is>
      </c>
      <c r="D299" t="inlineStr">
        <is>
          <t>m</t>
        </is>
      </c>
      <c r="E299" t="inlineStr">
        <is>
          <t>A1</t>
        </is>
      </c>
      <c r="F299" t="n">
        <v>34</v>
      </c>
      <c r="G299" s="4" t="n">
        <v>13.3</v>
      </c>
      <c r="H299" s="5" t="n"/>
      <c r="I299" s="4" t="n">
        <v>452.2</v>
      </c>
      <c r="J299" s="6">
        <f>H299*F299</f>
        <v/>
      </c>
      <c r="K299" s="6">
        <f>J299-I299</f>
        <v/>
      </c>
      <c r="L299" s="7">
        <f>IF(I299=0,"",K299/I299)</f>
        <v/>
      </c>
      <c r="M299" s="6">
        <f>IF(ABS(L299)&lt;0.02," 合理",IF(ABS(L299)&lt;0.05," 关注"," 复查"))</f>
        <v/>
      </c>
    </row>
    <row r="300">
      <c r="A300" t="n">
        <v>299</v>
      </c>
      <c r="B300" t="inlineStr">
        <is>
          <t>RVV-2x0.5</t>
        </is>
      </c>
      <c r="C300" t="inlineStr">
        <is>
          <t>甲供</t>
        </is>
      </c>
      <c r="D300" t="inlineStr">
        <is>
          <t>m</t>
        </is>
      </c>
      <c r="E300" t="inlineStr">
        <is>
          <t>B1</t>
        </is>
      </c>
      <c r="F300" t="n">
        <v>68</v>
      </c>
      <c r="G300" s="4" t="n">
        <v>12.57</v>
      </c>
      <c r="H300" s="5" t="n"/>
      <c r="I300" s="4" t="n">
        <v>854.76</v>
      </c>
      <c r="J300" s="6">
        <f>H300*F300</f>
        <v/>
      </c>
      <c r="K300" s="6">
        <f>J300-I300</f>
        <v/>
      </c>
      <c r="L300" s="7">
        <f>IF(I300=0,"",K300/I300)</f>
        <v/>
      </c>
      <c r="M300" s="6">
        <f>IF(ABS(L300)&lt;0.02," 合理",IF(ABS(L300)&lt;0.05," 关注"," 复查"))</f>
        <v/>
      </c>
    </row>
    <row r="301">
      <c r="A301" t="n">
        <v>300</v>
      </c>
      <c r="B301" t="inlineStr">
        <is>
          <t>RVV-2x0.5</t>
        </is>
      </c>
      <c r="C301" t="inlineStr">
        <is>
          <t>甲供</t>
        </is>
      </c>
      <c r="D301" t="inlineStr">
        <is>
          <t>m</t>
        </is>
      </c>
      <c r="E301" t="inlineStr">
        <is>
          <t>B2</t>
        </is>
      </c>
      <c r="F301" t="n">
        <v>17</v>
      </c>
      <c r="G301" s="4" t="n">
        <v>12.57</v>
      </c>
      <c r="H301" s="5" t="n"/>
      <c r="I301" s="4" t="n">
        <v>213.69</v>
      </c>
      <c r="J301" s="6">
        <f>H301*F301</f>
        <v/>
      </c>
      <c r="K301" s="6">
        <f>J301-I301</f>
        <v/>
      </c>
      <c r="L301" s="7">
        <f>IF(I301=0,"",K301/I301)</f>
        <v/>
      </c>
      <c r="M301" s="6">
        <f>IF(ABS(L301)&lt;0.02," 合理",IF(ABS(L301)&lt;0.05," 关注"," 复查"))</f>
        <v/>
      </c>
    </row>
    <row r="302">
      <c r="A302" t="n">
        <v>301</v>
      </c>
      <c r="B302" t="inlineStr">
        <is>
          <t>RVV-2x0.5</t>
        </is>
      </c>
      <c r="C302" t="inlineStr">
        <is>
          <t>甲供</t>
        </is>
      </c>
      <c r="D302" t="inlineStr">
        <is>
          <t>m</t>
        </is>
      </c>
      <c r="E302" t="inlineStr">
        <is>
          <t>C</t>
        </is>
      </c>
      <c r="F302" t="n">
        <v>17</v>
      </c>
      <c r="G302" s="4" t="n">
        <v>13.4</v>
      </c>
      <c r="H302" s="5" t="n"/>
      <c r="I302" s="4" t="n">
        <v>227.8</v>
      </c>
      <c r="J302" s="6">
        <f>H302*F302</f>
        <v/>
      </c>
      <c r="K302" s="6">
        <f>J302-I302</f>
        <v/>
      </c>
      <c r="L302" s="7">
        <f>IF(I302=0,"",K302/I302)</f>
        <v/>
      </c>
      <c r="M302" s="6">
        <f>IF(ABS(L302)&lt;0.02," 合理",IF(ABS(L302)&lt;0.05," 关注"," 复查"))</f>
        <v/>
      </c>
    </row>
    <row r="303">
      <c r="A303" t="n">
        <v>302</v>
      </c>
      <c r="B303" t="inlineStr">
        <is>
          <t>RVV-2x0.5</t>
        </is>
      </c>
      <c r="C303" t="inlineStr">
        <is>
          <t>甲供</t>
        </is>
      </c>
      <c r="D303" t="inlineStr">
        <is>
          <t>m</t>
        </is>
      </c>
      <c r="E303" t="inlineStr">
        <is>
          <t>D1</t>
        </is>
      </c>
      <c r="F303" t="n">
        <v>34</v>
      </c>
      <c r="G303" s="4" t="n">
        <v>15.98</v>
      </c>
      <c r="H303" s="5" t="n"/>
      <c r="I303" s="4" t="n">
        <v>543.3200000000001</v>
      </c>
      <c r="J303" s="6">
        <f>H303*F303</f>
        <v/>
      </c>
      <c r="K303" s="6">
        <f>J303-I303</f>
        <v/>
      </c>
      <c r="L303" s="7">
        <f>IF(I303=0,"",K303/I303)</f>
        <v/>
      </c>
      <c r="M303" s="6">
        <f>IF(ABS(L303)&lt;0.02," 合理",IF(ABS(L303)&lt;0.05," 关注"," 复查"))</f>
        <v/>
      </c>
    </row>
    <row r="304">
      <c r="A304" t="n">
        <v>303</v>
      </c>
      <c r="B304" t="inlineStr">
        <is>
          <t>RVV-2x0.5</t>
        </is>
      </c>
      <c r="C304" t="inlineStr">
        <is>
          <t>甲供</t>
        </is>
      </c>
      <c r="D304" t="inlineStr">
        <is>
          <t>m</t>
        </is>
      </c>
      <c r="E304" t="inlineStr">
        <is>
          <t>D2</t>
        </is>
      </c>
      <c r="F304" t="n">
        <v>15</v>
      </c>
      <c r="G304" s="4" t="n">
        <v>15.98</v>
      </c>
      <c r="H304" s="5" t="n"/>
      <c r="I304" s="4" t="n">
        <v>239.7</v>
      </c>
      <c r="J304" s="6">
        <f>H304*F304</f>
        <v/>
      </c>
      <c r="K304" s="6">
        <f>J304-I304</f>
        <v/>
      </c>
      <c r="L304" s="7">
        <f>IF(I304=0,"",K304/I304)</f>
        <v/>
      </c>
      <c r="M304" s="6">
        <f>IF(ABS(L304)&lt;0.02," 合理",IF(ABS(L304)&lt;0.05," 关注"," 复查"))</f>
        <v/>
      </c>
    </row>
    <row r="305">
      <c r="A305" t="n">
        <v>304</v>
      </c>
      <c r="B305" t="inlineStr">
        <is>
          <t>RVV-2x0.5</t>
        </is>
      </c>
      <c r="C305" t="inlineStr">
        <is>
          <t>甲供</t>
        </is>
      </c>
      <c r="D305" t="inlineStr">
        <is>
          <t>m</t>
        </is>
      </c>
      <c r="E305" t="inlineStr">
        <is>
          <t>D3</t>
        </is>
      </c>
      <c r="F305" t="n">
        <v>2</v>
      </c>
      <c r="G305" s="4" t="n">
        <v>15.98</v>
      </c>
      <c r="H305" s="5" t="n"/>
      <c r="I305" s="4" t="n">
        <v>31.96</v>
      </c>
      <c r="J305" s="6">
        <f>H305*F305</f>
        <v/>
      </c>
      <c r="K305" s="6">
        <f>J305-I305</f>
        <v/>
      </c>
      <c r="L305" s="7">
        <f>IF(I305=0,"",K305/I305)</f>
        <v/>
      </c>
      <c r="M305" s="6">
        <f>IF(ABS(L305)&lt;0.02," 合理",IF(ABS(L305)&lt;0.05," 关注"," 复查"))</f>
        <v/>
      </c>
    </row>
    <row r="306">
      <c r="A306" t="n">
        <v>305</v>
      </c>
      <c r="B306" t="inlineStr">
        <is>
          <t>RVV-2x0.5</t>
        </is>
      </c>
      <c r="C306" t="inlineStr">
        <is>
          <t>甲供</t>
        </is>
      </c>
      <c r="D306" t="inlineStr">
        <is>
          <t>m</t>
        </is>
      </c>
      <c r="E306" t="inlineStr">
        <is>
          <t>D4</t>
        </is>
      </c>
      <c r="F306" t="n">
        <v>2</v>
      </c>
      <c r="G306" s="4" t="n">
        <v>15.98</v>
      </c>
      <c r="H306" s="5" t="n"/>
      <c r="I306" s="4" t="n">
        <v>31.96</v>
      </c>
      <c r="J306" s="6">
        <f>H306*F306</f>
        <v/>
      </c>
      <c r="K306" s="6">
        <f>J306-I306</f>
        <v/>
      </c>
      <c r="L306" s="7">
        <f>IF(I306=0,"",K306/I306)</f>
        <v/>
      </c>
      <c r="M306" s="6">
        <f>IF(ABS(L306)&lt;0.02," 合理",IF(ABS(L306)&lt;0.05," 关注"," 复查"))</f>
        <v/>
      </c>
    </row>
    <row r="307">
      <c r="A307" t="n">
        <v>306</v>
      </c>
      <c r="B307" t="inlineStr">
        <is>
          <t>RVV-2x0.5</t>
        </is>
      </c>
      <c r="C307" t="inlineStr">
        <is>
          <t>甲供</t>
        </is>
      </c>
      <c r="D307" t="inlineStr">
        <is>
          <t>m</t>
        </is>
      </c>
      <c r="E307" t="inlineStr">
        <is>
          <t>E</t>
        </is>
      </c>
      <c r="F307" t="n">
        <v>28</v>
      </c>
      <c r="G307" s="4" t="n">
        <v>13.7</v>
      </c>
      <c r="H307" s="5" t="n"/>
      <c r="I307" s="4" t="n">
        <v>383.6</v>
      </c>
      <c r="J307" s="6">
        <f>H307*F307</f>
        <v/>
      </c>
      <c r="K307" s="6">
        <f>J307-I307</f>
        <v/>
      </c>
      <c r="L307" s="7">
        <f>IF(I307=0,"",K307/I307)</f>
        <v/>
      </c>
      <c r="M307" s="6">
        <f>IF(ABS(L307)&lt;0.02," 合理",IF(ABS(L307)&lt;0.05," 关注"," 复查"))</f>
        <v/>
      </c>
    </row>
    <row r="308">
      <c r="A308" t="n">
        <v>307</v>
      </c>
      <c r="B308" t="inlineStr">
        <is>
          <t>RVV-4x0.5</t>
        </is>
      </c>
      <c r="C308" t="inlineStr">
        <is>
          <t>甲供</t>
        </is>
      </c>
      <c r="D308" t="inlineStr">
        <is>
          <t>m</t>
        </is>
      </c>
      <c r="E308" t="inlineStr">
        <is>
          <t>A1</t>
        </is>
      </c>
      <c r="F308" t="n">
        <v>34</v>
      </c>
      <c r="G308" s="4" t="n">
        <v>10.8</v>
      </c>
      <c r="H308" s="5" t="n"/>
      <c r="I308" s="4" t="n">
        <v>367.2</v>
      </c>
      <c r="J308" s="6">
        <f>H308*F308</f>
        <v/>
      </c>
      <c r="K308" s="6">
        <f>J308-I308</f>
        <v/>
      </c>
      <c r="L308" s="7">
        <f>IF(I308=0,"",K308/I308)</f>
        <v/>
      </c>
      <c r="M308" s="6">
        <f>IF(ABS(L308)&lt;0.02," 合理",IF(ABS(L308)&lt;0.05," 关注"," 复查"))</f>
        <v/>
      </c>
    </row>
    <row r="309">
      <c r="A309" t="n">
        <v>308</v>
      </c>
      <c r="B309" t="inlineStr">
        <is>
          <t>RVV-4x0.5</t>
        </is>
      </c>
      <c r="C309" t="inlineStr">
        <is>
          <t>甲供</t>
        </is>
      </c>
      <c r="D309" t="inlineStr">
        <is>
          <t>m</t>
        </is>
      </c>
      <c r="E309" t="inlineStr">
        <is>
          <t>B1</t>
        </is>
      </c>
      <c r="F309" t="n">
        <v>68</v>
      </c>
      <c r="G309" s="4" t="n">
        <v>11.8</v>
      </c>
      <c r="H309" s="5" t="n"/>
      <c r="I309" s="4" t="n">
        <v>802.4</v>
      </c>
      <c r="J309" s="6">
        <f>H309*F309</f>
        <v/>
      </c>
      <c r="K309" s="6">
        <f>J309-I309</f>
        <v/>
      </c>
      <c r="L309" s="7">
        <f>IF(I309=0,"",K309/I309)</f>
        <v/>
      </c>
      <c r="M309" s="6">
        <f>IF(ABS(L309)&lt;0.02," 合理",IF(ABS(L309)&lt;0.05," 关注"," 复查"))</f>
        <v/>
      </c>
    </row>
    <row r="310">
      <c r="A310" t="n">
        <v>309</v>
      </c>
      <c r="B310" t="inlineStr">
        <is>
          <t>RVV-4x0.5</t>
        </is>
      </c>
      <c r="C310" t="inlineStr">
        <is>
          <t>甲供</t>
        </is>
      </c>
      <c r="D310" t="inlineStr">
        <is>
          <t>m</t>
        </is>
      </c>
      <c r="E310" t="inlineStr">
        <is>
          <t>B2</t>
        </is>
      </c>
      <c r="F310" t="n">
        <v>17</v>
      </c>
      <c r="G310" s="4" t="n">
        <v>11.8</v>
      </c>
      <c r="H310" s="5" t="n"/>
      <c r="I310" s="4" t="n">
        <v>200.6</v>
      </c>
      <c r="J310" s="6">
        <f>H310*F310</f>
        <v/>
      </c>
      <c r="K310" s="6">
        <f>J310-I310</f>
        <v/>
      </c>
      <c r="L310" s="7">
        <f>IF(I310=0,"",K310/I310)</f>
        <v/>
      </c>
      <c r="M310" s="6">
        <f>IF(ABS(L310)&lt;0.02," 合理",IF(ABS(L310)&lt;0.05," 关注"," 复查"))</f>
        <v/>
      </c>
    </row>
    <row r="311">
      <c r="A311" t="n">
        <v>310</v>
      </c>
      <c r="B311" t="inlineStr">
        <is>
          <t>RVV-4x0.5</t>
        </is>
      </c>
      <c r="C311" t="inlineStr">
        <is>
          <t>甲供</t>
        </is>
      </c>
      <c r="D311" t="inlineStr">
        <is>
          <t>m</t>
        </is>
      </c>
      <c r="E311" t="inlineStr">
        <is>
          <t>C</t>
        </is>
      </c>
      <c r="F311" t="n">
        <v>17</v>
      </c>
      <c r="G311" s="4" t="n">
        <v>11.88</v>
      </c>
      <c r="H311" s="5" t="n"/>
      <c r="I311" s="4" t="n">
        <v>201.96</v>
      </c>
      <c r="J311" s="6">
        <f>H311*F311</f>
        <v/>
      </c>
      <c r="K311" s="6">
        <f>J311-I311</f>
        <v/>
      </c>
      <c r="L311" s="7">
        <f>IF(I311=0,"",K311/I311)</f>
        <v/>
      </c>
      <c r="M311" s="6">
        <f>IF(ABS(L311)&lt;0.02," 合理",IF(ABS(L311)&lt;0.05," 关注"," 复查"))</f>
        <v/>
      </c>
    </row>
    <row r="312">
      <c r="A312" t="n">
        <v>311</v>
      </c>
      <c r="B312" t="inlineStr">
        <is>
          <t>RVV-4x0.5</t>
        </is>
      </c>
      <c r="C312" t="inlineStr">
        <is>
          <t>甲供</t>
        </is>
      </c>
      <c r="D312" t="inlineStr">
        <is>
          <t>m</t>
        </is>
      </c>
      <c r="E312" t="inlineStr">
        <is>
          <t>D1</t>
        </is>
      </c>
      <c r="F312" t="n">
        <v>34</v>
      </c>
      <c r="G312" s="4" t="n">
        <v>11.29</v>
      </c>
      <c r="H312" s="5" t="n"/>
      <c r="I312" s="4" t="n">
        <v>383.86</v>
      </c>
      <c r="J312" s="6">
        <f>H312*F312</f>
        <v/>
      </c>
      <c r="K312" s="6">
        <f>J312-I312</f>
        <v/>
      </c>
      <c r="L312" s="7">
        <f>IF(I312=0,"",K312/I312)</f>
        <v/>
      </c>
      <c r="M312" s="6">
        <f>IF(ABS(L312)&lt;0.02," 合理",IF(ABS(L312)&lt;0.05," 关注"," 复查"))</f>
        <v/>
      </c>
    </row>
    <row r="313">
      <c r="A313" t="n">
        <v>312</v>
      </c>
      <c r="B313" t="inlineStr">
        <is>
          <t>RVV-4x0.5</t>
        </is>
      </c>
      <c r="C313" t="inlineStr">
        <is>
          <t>甲供</t>
        </is>
      </c>
      <c r="D313" t="inlineStr">
        <is>
          <t>m</t>
        </is>
      </c>
      <c r="E313" t="inlineStr">
        <is>
          <t>D2</t>
        </is>
      </c>
      <c r="F313" t="n">
        <v>15</v>
      </c>
      <c r="G313" s="4" t="n">
        <v>11.29</v>
      </c>
      <c r="H313" s="5" t="n"/>
      <c r="I313" s="4" t="n">
        <v>169.35</v>
      </c>
      <c r="J313" s="6">
        <f>H313*F313</f>
        <v/>
      </c>
      <c r="K313" s="6">
        <f>J313-I313</f>
        <v/>
      </c>
      <c r="L313" s="7">
        <f>IF(I313=0,"",K313/I313)</f>
        <v/>
      </c>
      <c r="M313" s="6">
        <f>IF(ABS(L313)&lt;0.02," 合理",IF(ABS(L313)&lt;0.05," 关注"," 复查"))</f>
        <v/>
      </c>
    </row>
    <row r="314">
      <c r="A314" t="n">
        <v>313</v>
      </c>
      <c r="B314" t="inlineStr">
        <is>
          <t>RVV-4x0.5</t>
        </is>
      </c>
      <c r="C314" t="inlineStr">
        <is>
          <t>甲供</t>
        </is>
      </c>
      <c r="D314" t="inlineStr">
        <is>
          <t>m</t>
        </is>
      </c>
      <c r="E314" t="inlineStr">
        <is>
          <t>D3</t>
        </is>
      </c>
      <c r="F314" t="n">
        <v>2</v>
      </c>
      <c r="G314" s="4" t="n">
        <v>11.29</v>
      </c>
      <c r="H314" s="5" t="n"/>
      <c r="I314" s="4" t="n">
        <v>22.58</v>
      </c>
      <c r="J314" s="6">
        <f>H314*F314</f>
        <v/>
      </c>
      <c r="K314" s="6">
        <f>J314-I314</f>
        <v/>
      </c>
      <c r="L314" s="7">
        <f>IF(I314=0,"",K314/I314)</f>
        <v/>
      </c>
      <c r="M314" s="6">
        <f>IF(ABS(L314)&lt;0.02," 合理",IF(ABS(L314)&lt;0.05," 关注"," 复查"))</f>
        <v/>
      </c>
    </row>
    <row r="315">
      <c r="A315" t="n">
        <v>314</v>
      </c>
      <c r="B315" t="inlineStr">
        <is>
          <t>RVV-4x0.5</t>
        </is>
      </c>
      <c r="C315" t="inlineStr">
        <is>
          <t>甲供</t>
        </is>
      </c>
      <c r="D315" t="inlineStr">
        <is>
          <t>m</t>
        </is>
      </c>
      <c r="E315" t="inlineStr">
        <is>
          <t>D4</t>
        </is>
      </c>
      <c r="F315" t="n">
        <v>2</v>
      </c>
      <c r="G315" s="4" t="n">
        <v>11.29</v>
      </c>
      <c r="H315" s="5" t="n"/>
      <c r="I315" s="4" t="n">
        <v>22.58</v>
      </c>
      <c r="J315" s="6">
        <f>H315*F315</f>
        <v/>
      </c>
      <c r="K315" s="6">
        <f>J315-I315</f>
        <v/>
      </c>
      <c r="L315" s="7">
        <f>IF(I315=0,"",K315/I315)</f>
        <v/>
      </c>
      <c r="M315" s="6">
        <f>IF(ABS(L315)&lt;0.02," 合理",IF(ABS(L315)&lt;0.05," 关注"," 复查"))</f>
        <v/>
      </c>
    </row>
    <row r="316">
      <c r="A316" t="n">
        <v>315</v>
      </c>
      <c r="B316" t="inlineStr">
        <is>
          <t>RVV-4x0.5</t>
        </is>
      </c>
      <c r="C316" t="inlineStr">
        <is>
          <t>甲供</t>
        </is>
      </c>
      <c r="D316" t="inlineStr">
        <is>
          <t>m</t>
        </is>
      </c>
      <c r="E316" t="inlineStr">
        <is>
          <t>E</t>
        </is>
      </c>
      <c r="F316" t="n">
        <v>28</v>
      </c>
      <c r="G316" s="4" t="n">
        <v>10.77</v>
      </c>
      <c r="H316" s="5" t="n"/>
      <c r="I316" s="4" t="n">
        <v>301.56</v>
      </c>
      <c r="J316" s="6">
        <f>H316*F316</f>
        <v/>
      </c>
      <c r="K316" s="6">
        <f>J316-I316</f>
        <v/>
      </c>
      <c r="L316" s="7">
        <f>IF(I316=0,"",K316/I316)</f>
        <v/>
      </c>
      <c r="M316" s="6">
        <f>IF(ABS(L316)&lt;0.02," 合理",IF(ABS(L316)&lt;0.05," 关注"," 复查"))</f>
        <v/>
      </c>
    </row>
    <row r="317">
      <c r="A317" t="n">
        <v>316</v>
      </c>
      <c r="B317" t="inlineStr">
        <is>
          <t>BVR-4接地线</t>
        </is>
      </c>
      <c r="C317" t="inlineStr">
        <is>
          <t>甲供</t>
        </is>
      </c>
      <c r="D317" t="inlineStr">
        <is>
          <t>m</t>
        </is>
      </c>
      <c r="E317" t="inlineStr">
        <is>
          <t>A1</t>
        </is>
      </c>
      <c r="F317" t="n">
        <v>34</v>
      </c>
      <c r="G317" s="4" t="n">
        <v>38.6</v>
      </c>
      <c r="H317" s="5" t="n"/>
      <c r="I317" s="4" t="n">
        <v>1312.4</v>
      </c>
      <c r="J317" s="6">
        <f>H317*F317</f>
        <v/>
      </c>
      <c r="K317" s="6">
        <f>J317-I317</f>
        <v/>
      </c>
      <c r="L317" s="7">
        <f>IF(I317=0,"",K317/I317)</f>
        <v/>
      </c>
      <c r="M317" s="6">
        <f>IF(ABS(L317)&lt;0.02," 合理",IF(ABS(L317)&lt;0.05," 关注"," 复查"))</f>
        <v/>
      </c>
    </row>
    <row r="318">
      <c r="A318" t="n">
        <v>317</v>
      </c>
      <c r="B318" t="inlineStr">
        <is>
          <t>BVR-4接地线</t>
        </is>
      </c>
      <c r="C318" t="inlineStr">
        <is>
          <t>甲供</t>
        </is>
      </c>
      <c r="D318" t="inlineStr">
        <is>
          <t>m</t>
        </is>
      </c>
      <c r="E318" t="inlineStr">
        <is>
          <t>B1</t>
        </is>
      </c>
      <c r="F318" t="n">
        <v>68</v>
      </c>
      <c r="G318" s="4" t="n">
        <v>44.06</v>
      </c>
      <c r="H318" s="5" t="n"/>
      <c r="I318" s="4" t="n">
        <v>2996.08</v>
      </c>
      <c r="J318" s="6">
        <f>H318*F318</f>
        <v/>
      </c>
      <c r="K318" s="6">
        <f>J318-I318</f>
        <v/>
      </c>
      <c r="L318" s="7">
        <f>IF(I318=0,"",K318/I318)</f>
        <v/>
      </c>
      <c r="M318" s="6">
        <f>IF(ABS(L318)&lt;0.02," 合理",IF(ABS(L318)&lt;0.05," 关注"," 复查"))</f>
        <v/>
      </c>
    </row>
    <row r="319">
      <c r="A319" t="n">
        <v>318</v>
      </c>
      <c r="B319" t="inlineStr">
        <is>
          <t>BVR-4接地线</t>
        </is>
      </c>
      <c r="C319" t="inlineStr">
        <is>
          <t>甲供</t>
        </is>
      </c>
      <c r="D319" t="inlineStr">
        <is>
          <t>m</t>
        </is>
      </c>
      <c r="E319" t="inlineStr">
        <is>
          <t>B2</t>
        </is>
      </c>
      <c r="F319" t="n">
        <v>17</v>
      </c>
      <c r="G319" s="4" t="n">
        <v>44.06</v>
      </c>
      <c r="H319" s="5" t="n"/>
      <c r="I319" s="4" t="n">
        <v>749.02</v>
      </c>
      <c r="J319" s="6">
        <f>H319*F319</f>
        <v/>
      </c>
      <c r="K319" s="6">
        <f>J319-I319</f>
        <v/>
      </c>
      <c r="L319" s="7">
        <f>IF(I319=0,"",K319/I319)</f>
        <v/>
      </c>
      <c r="M319" s="6">
        <f>IF(ABS(L319)&lt;0.02," 合理",IF(ABS(L319)&lt;0.05," 关注"," 复查"))</f>
        <v/>
      </c>
    </row>
    <row r="320">
      <c r="A320" t="n">
        <v>319</v>
      </c>
      <c r="B320" t="inlineStr">
        <is>
          <t>BVR-4接地线</t>
        </is>
      </c>
      <c r="C320" t="inlineStr">
        <is>
          <t>甲供</t>
        </is>
      </c>
      <c r="D320" t="inlineStr">
        <is>
          <t>m</t>
        </is>
      </c>
      <c r="E320" t="inlineStr">
        <is>
          <t>C</t>
        </is>
      </c>
      <c r="F320" t="n">
        <v>17</v>
      </c>
      <c r="G320" s="4" t="n">
        <v>45.32</v>
      </c>
      <c r="H320" s="5" t="n"/>
      <c r="I320" s="4" t="n">
        <v>770.4400000000001</v>
      </c>
      <c r="J320" s="6">
        <f>H320*F320</f>
        <v/>
      </c>
      <c r="K320" s="6">
        <f>J320-I320</f>
        <v/>
      </c>
      <c r="L320" s="7">
        <f>IF(I320=0,"",K320/I320)</f>
        <v/>
      </c>
      <c r="M320" s="6">
        <f>IF(ABS(L320)&lt;0.02," 合理",IF(ABS(L320)&lt;0.05," 关注"," 复查"))</f>
        <v/>
      </c>
    </row>
    <row r="321">
      <c r="A321" t="n">
        <v>320</v>
      </c>
      <c r="B321" t="inlineStr">
        <is>
          <t>BVR-4接地线</t>
        </is>
      </c>
      <c r="C321" t="inlineStr">
        <is>
          <t>甲供</t>
        </is>
      </c>
      <c r="D321" t="inlineStr">
        <is>
          <t>m</t>
        </is>
      </c>
      <c r="E321" t="inlineStr">
        <is>
          <t>D1</t>
        </is>
      </c>
      <c r="F321" t="n">
        <v>34</v>
      </c>
      <c r="G321" s="4" t="n">
        <v>52.29</v>
      </c>
      <c r="H321" s="5" t="n"/>
      <c r="I321" s="4" t="n">
        <v>1777.86</v>
      </c>
      <c r="J321" s="6">
        <f>H321*F321</f>
        <v/>
      </c>
      <c r="K321" s="6">
        <f>J321-I321</f>
        <v/>
      </c>
      <c r="L321" s="7">
        <f>IF(I321=0,"",K321/I321)</f>
        <v/>
      </c>
      <c r="M321" s="6">
        <f>IF(ABS(L321)&lt;0.02," 合理",IF(ABS(L321)&lt;0.05," 关注"," 复查"))</f>
        <v/>
      </c>
    </row>
    <row r="322">
      <c r="A322" t="n">
        <v>321</v>
      </c>
      <c r="B322" t="inlineStr">
        <is>
          <t>BVR-4接地线</t>
        </is>
      </c>
      <c r="C322" t="inlineStr">
        <is>
          <t>甲供</t>
        </is>
      </c>
      <c r="D322" t="inlineStr">
        <is>
          <t>m</t>
        </is>
      </c>
      <c r="E322" t="inlineStr">
        <is>
          <t>D2</t>
        </is>
      </c>
      <c r="F322" t="n">
        <v>15</v>
      </c>
      <c r="G322" s="4" t="n">
        <v>52.29</v>
      </c>
      <c r="H322" s="5" t="n"/>
      <c r="I322" s="4" t="n">
        <v>784.35</v>
      </c>
      <c r="J322" s="6">
        <f>H322*F322</f>
        <v/>
      </c>
      <c r="K322" s="6">
        <f>J322-I322</f>
        <v/>
      </c>
      <c r="L322" s="7">
        <f>IF(I322=0,"",K322/I322)</f>
        <v/>
      </c>
      <c r="M322" s="6">
        <f>IF(ABS(L322)&lt;0.02," 合理",IF(ABS(L322)&lt;0.05," 关注"," 复查"))</f>
        <v/>
      </c>
    </row>
    <row r="323">
      <c r="A323" t="n">
        <v>322</v>
      </c>
      <c r="B323" t="inlineStr">
        <is>
          <t>BVR-4接地线</t>
        </is>
      </c>
      <c r="C323" t="inlineStr">
        <is>
          <t>甲供</t>
        </is>
      </c>
      <c r="D323" t="inlineStr">
        <is>
          <t>m</t>
        </is>
      </c>
      <c r="E323" t="inlineStr">
        <is>
          <t>D3</t>
        </is>
      </c>
      <c r="F323" t="n">
        <v>2</v>
      </c>
      <c r="G323" s="4" t="n">
        <v>52.29</v>
      </c>
      <c r="H323" s="5" t="n"/>
      <c r="I323" s="4" t="n">
        <v>104.58</v>
      </c>
      <c r="J323" s="6">
        <f>H323*F323</f>
        <v/>
      </c>
      <c r="K323" s="6">
        <f>J323-I323</f>
        <v/>
      </c>
      <c r="L323" s="7">
        <f>IF(I323=0,"",K323/I323)</f>
        <v/>
      </c>
      <c r="M323" s="6">
        <f>IF(ABS(L323)&lt;0.02," 合理",IF(ABS(L323)&lt;0.05," 关注"," 复查"))</f>
        <v/>
      </c>
    </row>
    <row r="324">
      <c r="A324" t="n">
        <v>323</v>
      </c>
      <c r="B324" t="inlineStr">
        <is>
          <t>BVR-4接地线</t>
        </is>
      </c>
      <c r="C324" t="inlineStr">
        <is>
          <t>甲供</t>
        </is>
      </c>
      <c r="D324" t="inlineStr">
        <is>
          <t>m</t>
        </is>
      </c>
      <c r="E324" t="inlineStr">
        <is>
          <t>D4</t>
        </is>
      </c>
      <c r="F324" t="n">
        <v>2</v>
      </c>
      <c r="G324" s="4" t="n">
        <v>52.29</v>
      </c>
      <c r="H324" s="5" t="n"/>
      <c r="I324" s="4" t="n">
        <v>104.58</v>
      </c>
      <c r="J324" s="6">
        <f>H324*F324</f>
        <v/>
      </c>
      <c r="K324" s="6">
        <f>J324-I324</f>
        <v/>
      </c>
      <c r="L324" s="7">
        <f>IF(I324=0,"",K324/I324)</f>
        <v/>
      </c>
      <c r="M324" s="6">
        <f>IF(ABS(L324)&lt;0.02," 合理",IF(ABS(L324)&lt;0.05," 关注"," 复查"))</f>
        <v/>
      </c>
    </row>
    <row r="325">
      <c r="A325" t="n">
        <v>324</v>
      </c>
      <c r="B325" t="inlineStr">
        <is>
          <t>BVR-4接地线</t>
        </is>
      </c>
      <c r="C325" t="inlineStr">
        <is>
          <t>甲供</t>
        </is>
      </c>
      <c r="D325" t="inlineStr">
        <is>
          <t>m</t>
        </is>
      </c>
      <c r="E325" t="inlineStr">
        <is>
          <t>E</t>
        </is>
      </c>
      <c r="F325" t="n">
        <v>28</v>
      </c>
      <c r="G325" s="4" t="n">
        <v>55.7</v>
      </c>
      <c r="H325" s="5" t="n"/>
      <c r="I325" s="4" t="n">
        <v>1559.6</v>
      </c>
      <c r="J325" s="6">
        <f>H325*F325</f>
        <v/>
      </c>
      <c r="K325" s="6">
        <f>J325-I325</f>
        <v/>
      </c>
      <c r="L325" s="7">
        <f>IF(I325=0,"",K325/I325)</f>
        <v/>
      </c>
      <c r="M325" s="6">
        <f>IF(ABS(L325)&lt;0.02," 合理",IF(ABS(L325)&lt;0.05," 关注"," 复查"))</f>
        <v/>
      </c>
    </row>
    <row r="326">
      <c r="A326" t="n">
        <v>325</v>
      </c>
      <c r="B326" t="inlineStr">
        <is>
          <t>主卫-坐便器</t>
        </is>
      </c>
      <c r="C326" t="inlineStr">
        <is>
          <t>甲供</t>
        </is>
      </c>
      <c r="D326" t="inlineStr">
        <is>
          <t>套</t>
        </is>
      </c>
      <c r="E326" t="inlineStr">
        <is>
          <t>A1</t>
        </is>
      </c>
      <c r="F326" t="n">
        <v>34</v>
      </c>
      <c r="G326" s="4" t="n">
        <v>1</v>
      </c>
      <c r="H326" s="5" t="n"/>
      <c r="I326" s="4" t="n">
        <v>34</v>
      </c>
      <c r="J326" s="6">
        <f>H326*F326</f>
        <v/>
      </c>
      <c r="K326" s="6">
        <f>J326-I326</f>
        <v/>
      </c>
      <c r="L326" s="7">
        <f>IF(I326=0,"",K326/I326)</f>
        <v/>
      </c>
      <c r="M326" s="6">
        <f>IF(ABS(L326)&lt;0.02," 合理",IF(ABS(L326)&lt;0.05," 关注"," 复查"))</f>
        <v/>
      </c>
    </row>
    <row r="327">
      <c r="A327" t="n">
        <v>326</v>
      </c>
      <c r="B327" t="inlineStr">
        <is>
          <t>主卫-坐便器</t>
        </is>
      </c>
      <c r="C327" t="inlineStr">
        <is>
          <t>甲供</t>
        </is>
      </c>
      <c r="D327" t="inlineStr">
        <is>
          <t>套</t>
        </is>
      </c>
      <c r="E327" t="inlineStr">
        <is>
          <t>B1</t>
        </is>
      </c>
      <c r="F327" t="n">
        <v>68</v>
      </c>
      <c r="G327" s="4" t="n">
        <v>1</v>
      </c>
      <c r="H327" s="5" t="n"/>
      <c r="I327" s="4" t="n">
        <v>68</v>
      </c>
      <c r="J327" s="6">
        <f>H327*F327</f>
        <v/>
      </c>
      <c r="K327" s="6">
        <f>J327-I327</f>
        <v/>
      </c>
      <c r="L327" s="7">
        <f>IF(I327=0,"",K327/I327)</f>
        <v/>
      </c>
      <c r="M327" s="6">
        <f>IF(ABS(L327)&lt;0.02," 合理",IF(ABS(L327)&lt;0.05," 关注"," 复查"))</f>
        <v/>
      </c>
    </row>
    <row r="328">
      <c r="A328" t="n">
        <v>327</v>
      </c>
      <c r="B328" t="inlineStr">
        <is>
          <t>主卫-坐便器</t>
        </is>
      </c>
      <c r="C328" t="inlineStr">
        <is>
          <t>甲供</t>
        </is>
      </c>
      <c r="D328" t="inlineStr">
        <is>
          <t>套</t>
        </is>
      </c>
      <c r="E328" t="inlineStr">
        <is>
          <t>B2</t>
        </is>
      </c>
      <c r="F328" t="n">
        <v>17</v>
      </c>
      <c r="G328" s="4" t="n">
        <v>1</v>
      </c>
      <c r="H328" s="5" t="n"/>
      <c r="I328" s="4" t="n">
        <v>17</v>
      </c>
      <c r="J328" s="6">
        <f>H328*F328</f>
        <v/>
      </c>
      <c r="K328" s="6">
        <f>J328-I328</f>
        <v/>
      </c>
      <c r="L328" s="7">
        <f>IF(I328=0,"",K328/I328)</f>
        <v/>
      </c>
      <c r="M328" s="6">
        <f>IF(ABS(L328)&lt;0.02," 合理",IF(ABS(L328)&lt;0.05," 关注"," 复查"))</f>
        <v/>
      </c>
    </row>
    <row r="329">
      <c r="A329" t="n">
        <v>328</v>
      </c>
      <c r="B329" t="inlineStr">
        <is>
          <t>主卫-坐便器</t>
        </is>
      </c>
      <c r="C329" t="inlineStr">
        <is>
          <t>甲供</t>
        </is>
      </c>
      <c r="D329" t="inlineStr">
        <is>
          <t>套</t>
        </is>
      </c>
      <c r="E329" t="inlineStr">
        <is>
          <t>C</t>
        </is>
      </c>
      <c r="F329" t="n">
        <v>17</v>
      </c>
      <c r="G329" s="4" t="n">
        <v>1</v>
      </c>
      <c r="H329" s="5" t="n"/>
      <c r="I329" s="4" t="n">
        <v>17</v>
      </c>
      <c r="J329" s="6">
        <f>H329*F329</f>
        <v/>
      </c>
      <c r="K329" s="6">
        <f>J329-I329</f>
        <v/>
      </c>
      <c r="L329" s="7">
        <f>IF(I329=0,"",K329/I329)</f>
        <v/>
      </c>
      <c r="M329" s="6">
        <f>IF(ABS(L329)&lt;0.02," 合理",IF(ABS(L329)&lt;0.05," 关注"," 复查"))</f>
        <v/>
      </c>
    </row>
    <row r="330">
      <c r="A330" t="n">
        <v>329</v>
      </c>
      <c r="B330" t="inlineStr">
        <is>
          <t>主卫-坐便器</t>
        </is>
      </c>
      <c r="C330" t="inlineStr">
        <is>
          <t>甲供</t>
        </is>
      </c>
      <c r="D330" t="inlineStr">
        <is>
          <t>套</t>
        </is>
      </c>
      <c r="E330" t="inlineStr">
        <is>
          <t>D1</t>
        </is>
      </c>
      <c r="F330" t="n">
        <v>34</v>
      </c>
      <c r="G330" s="4" t="n">
        <v>1</v>
      </c>
      <c r="H330" s="5" t="n"/>
      <c r="I330" s="4" t="n">
        <v>34</v>
      </c>
      <c r="J330" s="6">
        <f>H330*F330</f>
        <v/>
      </c>
      <c r="K330" s="6">
        <f>J330-I330</f>
        <v/>
      </c>
      <c r="L330" s="7">
        <f>IF(I330=0,"",K330/I330)</f>
        <v/>
      </c>
      <c r="M330" s="6">
        <f>IF(ABS(L330)&lt;0.02," 合理",IF(ABS(L330)&lt;0.05," 关注"," 复查"))</f>
        <v/>
      </c>
    </row>
    <row r="331">
      <c r="A331" t="n">
        <v>330</v>
      </c>
      <c r="B331" t="inlineStr">
        <is>
          <t>主卫-坐便器</t>
        </is>
      </c>
      <c r="C331" t="inlineStr">
        <is>
          <t>甲供</t>
        </is>
      </c>
      <c r="D331" t="inlineStr">
        <is>
          <t>套</t>
        </is>
      </c>
      <c r="E331" t="inlineStr">
        <is>
          <t>D2</t>
        </is>
      </c>
      <c r="F331" t="n">
        <v>15</v>
      </c>
      <c r="G331" s="4" t="n">
        <v>1</v>
      </c>
      <c r="H331" s="5" t="n"/>
      <c r="I331" s="4" t="n">
        <v>15</v>
      </c>
      <c r="J331" s="6">
        <f>H331*F331</f>
        <v/>
      </c>
      <c r="K331" s="6">
        <f>J331-I331</f>
        <v/>
      </c>
      <c r="L331" s="7">
        <f>IF(I331=0,"",K331/I331)</f>
        <v/>
      </c>
      <c r="M331" s="6">
        <f>IF(ABS(L331)&lt;0.02," 合理",IF(ABS(L331)&lt;0.05," 关注"," 复查"))</f>
        <v/>
      </c>
    </row>
    <row r="332">
      <c r="A332" t="n">
        <v>331</v>
      </c>
      <c r="B332" t="inlineStr">
        <is>
          <t>主卫-坐便器</t>
        </is>
      </c>
      <c r="C332" t="inlineStr">
        <is>
          <t>甲供</t>
        </is>
      </c>
      <c r="D332" t="inlineStr">
        <is>
          <t>套</t>
        </is>
      </c>
      <c r="E332" t="inlineStr">
        <is>
          <t>D3</t>
        </is>
      </c>
      <c r="F332" t="n">
        <v>2</v>
      </c>
      <c r="G332" s="4" t="n">
        <v>1</v>
      </c>
      <c r="H332" s="5" t="n"/>
      <c r="I332" s="4" t="n">
        <v>2</v>
      </c>
      <c r="J332" s="6">
        <f>H332*F332</f>
        <v/>
      </c>
      <c r="K332" s="6">
        <f>J332-I332</f>
        <v/>
      </c>
      <c r="L332" s="7">
        <f>IF(I332=0,"",K332/I332)</f>
        <v/>
      </c>
      <c r="M332" s="6">
        <f>IF(ABS(L332)&lt;0.02," 合理",IF(ABS(L332)&lt;0.05," 关注"," 复查"))</f>
        <v/>
      </c>
    </row>
    <row r="333">
      <c r="A333" t="n">
        <v>332</v>
      </c>
      <c r="B333" t="inlineStr">
        <is>
          <t>主卫-坐便器</t>
        </is>
      </c>
      <c r="C333" t="inlineStr">
        <is>
          <t>甲供</t>
        </is>
      </c>
      <c r="D333" t="inlineStr">
        <is>
          <t>套</t>
        </is>
      </c>
      <c r="E333" t="inlineStr">
        <is>
          <t>D4</t>
        </is>
      </c>
      <c r="F333" t="n">
        <v>2</v>
      </c>
      <c r="G333" s="4" t="n">
        <v>1</v>
      </c>
      <c r="H333" s="5" t="n"/>
      <c r="I333" s="4" t="n">
        <v>2</v>
      </c>
      <c r="J333" s="6">
        <f>H333*F333</f>
        <v/>
      </c>
      <c r="K333" s="6">
        <f>J333-I333</f>
        <v/>
      </c>
      <c r="L333" s="7">
        <f>IF(I333=0,"",K333/I333)</f>
        <v/>
      </c>
      <c r="M333" s="6">
        <f>IF(ABS(L333)&lt;0.02," 合理",IF(ABS(L333)&lt;0.05," 关注"," 复查"))</f>
        <v/>
      </c>
    </row>
    <row r="334">
      <c r="A334" t="n">
        <v>333</v>
      </c>
      <c r="B334" t="inlineStr">
        <is>
          <t>主卫-坐便器</t>
        </is>
      </c>
      <c r="C334" t="inlineStr">
        <is>
          <t>甲供</t>
        </is>
      </c>
      <c r="D334" t="inlineStr">
        <is>
          <t>套</t>
        </is>
      </c>
      <c r="E334" t="inlineStr">
        <is>
          <t>E</t>
        </is>
      </c>
      <c r="F334" t="n">
        <v>28</v>
      </c>
      <c r="G334" s="4" t="n">
        <v>1</v>
      </c>
      <c r="H334" s="5" t="n"/>
      <c r="I334" s="4" t="n">
        <v>28</v>
      </c>
      <c r="J334" s="6">
        <f>H334*F334</f>
        <v/>
      </c>
      <c r="K334" s="6">
        <f>J334-I334</f>
        <v/>
      </c>
      <c r="L334" s="7">
        <f>IF(I334=0,"",K334/I334)</f>
        <v/>
      </c>
      <c r="M334" s="6">
        <f>IF(ABS(L334)&lt;0.02," 合理",IF(ABS(L334)&lt;0.05," 关注"," 复查"))</f>
        <v/>
      </c>
    </row>
    <row r="335">
      <c r="A335" t="n">
        <v>334</v>
      </c>
      <c r="B335" t="inlineStr">
        <is>
          <t>次卫-坐便器</t>
        </is>
      </c>
      <c r="C335" t="inlineStr">
        <is>
          <t>甲供</t>
        </is>
      </c>
      <c r="D335" t="inlineStr">
        <is>
          <t>套</t>
        </is>
      </c>
      <c r="E335" t="inlineStr">
        <is>
          <t>A1</t>
        </is>
      </c>
      <c r="F335" t="n">
        <v>34</v>
      </c>
      <c r="G335" s="4" t="n">
        <v>1</v>
      </c>
      <c r="H335" s="5" t="n"/>
      <c r="I335" s="4" t="n">
        <v>34</v>
      </c>
      <c r="J335" s="6">
        <f>H335*F335</f>
        <v/>
      </c>
      <c r="K335" s="6">
        <f>J335-I335</f>
        <v/>
      </c>
      <c r="L335" s="7">
        <f>IF(I335=0,"",K335/I335)</f>
        <v/>
      </c>
      <c r="M335" s="6">
        <f>IF(ABS(L335)&lt;0.02," 合理",IF(ABS(L335)&lt;0.05," 关注"," 复查"))</f>
        <v/>
      </c>
    </row>
    <row r="336">
      <c r="A336" t="n">
        <v>335</v>
      </c>
      <c r="B336" t="inlineStr">
        <is>
          <t>次卫-坐便器</t>
        </is>
      </c>
      <c r="C336" t="inlineStr">
        <is>
          <t>甲供</t>
        </is>
      </c>
      <c r="D336" t="inlineStr">
        <is>
          <t>套</t>
        </is>
      </c>
      <c r="E336" t="inlineStr">
        <is>
          <t>B1</t>
        </is>
      </c>
      <c r="F336" t="n">
        <v>68</v>
      </c>
      <c r="G336" s="4" t="n">
        <v>2</v>
      </c>
      <c r="H336" s="5" t="n"/>
      <c r="I336" s="4" t="n">
        <v>136</v>
      </c>
      <c r="J336" s="6">
        <f>H336*F336</f>
        <v/>
      </c>
      <c r="K336" s="6">
        <f>J336-I336</f>
        <v/>
      </c>
      <c r="L336" s="7">
        <f>IF(I336=0,"",K336/I336)</f>
        <v/>
      </c>
      <c r="M336" s="6">
        <f>IF(ABS(L336)&lt;0.02," 合理",IF(ABS(L336)&lt;0.05," 关注"," 复查"))</f>
        <v/>
      </c>
    </row>
    <row r="337">
      <c r="A337" t="n">
        <v>336</v>
      </c>
      <c r="B337" t="inlineStr">
        <is>
          <t>次卫-坐便器</t>
        </is>
      </c>
      <c r="C337" t="inlineStr">
        <is>
          <t>甲供</t>
        </is>
      </c>
      <c r="D337" t="inlineStr">
        <is>
          <t>套</t>
        </is>
      </c>
      <c r="E337" t="inlineStr">
        <is>
          <t>B2</t>
        </is>
      </c>
      <c r="F337" t="n">
        <v>17</v>
      </c>
      <c r="G337" s="4" t="n">
        <v>2</v>
      </c>
      <c r="H337" s="5" t="n"/>
      <c r="I337" s="4" t="n">
        <v>34</v>
      </c>
      <c r="J337" s="6">
        <f>H337*F337</f>
        <v/>
      </c>
      <c r="K337" s="6">
        <f>J337-I337</f>
        <v/>
      </c>
      <c r="L337" s="7">
        <f>IF(I337=0,"",K337/I337)</f>
        <v/>
      </c>
      <c r="M337" s="6">
        <f>IF(ABS(L337)&lt;0.02," 合理",IF(ABS(L337)&lt;0.05," 关注"," 复查"))</f>
        <v/>
      </c>
    </row>
    <row r="338">
      <c r="A338" t="n">
        <v>337</v>
      </c>
      <c r="B338" t="inlineStr">
        <is>
          <t>次卫-坐便器</t>
        </is>
      </c>
      <c r="C338" t="inlineStr">
        <is>
          <t>甲供</t>
        </is>
      </c>
      <c r="D338" t="inlineStr">
        <is>
          <t>套</t>
        </is>
      </c>
      <c r="E338" t="inlineStr">
        <is>
          <t>C</t>
        </is>
      </c>
      <c r="F338" t="n">
        <v>17</v>
      </c>
      <c r="G338" s="4" t="n">
        <v>2</v>
      </c>
      <c r="H338" s="5" t="n"/>
      <c r="I338" s="4" t="n">
        <v>34</v>
      </c>
      <c r="J338" s="6">
        <f>H338*F338</f>
        <v/>
      </c>
      <c r="K338" s="6">
        <f>J338-I338</f>
        <v/>
      </c>
      <c r="L338" s="7">
        <f>IF(I338=0,"",K338/I338)</f>
        <v/>
      </c>
      <c r="M338" s="6">
        <f>IF(ABS(L338)&lt;0.02," 合理",IF(ABS(L338)&lt;0.05," 关注"," 复查"))</f>
        <v/>
      </c>
    </row>
    <row r="339">
      <c r="A339" t="n">
        <v>338</v>
      </c>
      <c r="B339" t="inlineStr">
        <is>
          <t>次卫-坐便器</t>
        </is>
      </c>
      <c r="C339" t="inlineStr">
        <is>
          <t>甲供</t>
        </is>
      </c>
      <c r="D339" t="inlineStr">
        <is>
          <t>套</t>
        </is>
      </c>
      <c r="E339" t="inlineStr">
        <is>
          <t>D1</t>
        </is>
      </c>
      <c r="F339" t="n">
        <v>34</v>
      </c>
      <c r="G339" s="4" t="n">
        <v>2</v>
      </c>
      <c r="H339" s="5" t="n"/>
      <c r="I339" s="4" t="n">
        <v>68</v>
      </c>
      <c r="J339" s="6">
        <f>H339*F339</f>
        <v/>
      </c>
      <c r="K339" s="6">
        <f>J339-I339</f>
        <v/>
      </c>
      <c r="L339" s="7">
        <f>IF(I339=0,"",K339/I339)</f>
        <v/>
      </c>
      <c r="M339" s="6">
        <f>IF(ABS(L339)&lt;0.02," 合理",IF(ABS(L339)&lt;0.05," 关注"," 复查"))</f>
        <v/>
      </c>
    </row>
    <row r="340">
      <c r="A340" t="n">
        <v>339</v>
      </c>
      <c r="B340" t="inlineStr">
        <is>
          <t>次卫-坐便器</t>
        </is>
      </c>
      <c r="C340" t="inlineStr">
        <is>
          <t>甲供</t>
        </is>
      </c>
      <c r="D340" t="inlineStr">
        <is>
          <t>套</t>
        </is>
      </c>
      <c r="E340" t="inlineStr">
        <is>
          <t>D2</t>
        </is>
      </c>
      <c r="F340" t="n">
        <v>15</v>
      </c>
      <c r="G340" s="4" t="n">
        <v>2</v>
      </c>
      <c r="H340" s="5" t="n"/>
      <c r="I340" s="4" t="n">
        <v>30</v>
      </c>
      <c r="J340" s="6">
        <f>H340*F340</f>
        <v/>
      </c>
      <c r="K340" s="6">
        <f>J340-I340</f>
        <v/>
      </c>
      <c r="L340" s="7">
        <f>IF(I340=0,"",K340/I340)</f>
        <v/>
      </c>
      <c r="M340" s="6">
        <f>IF(ABS(L340)&lt;0.02," 合理",IF(ABS(L340)&lt;0.05," 关注"," 复查"))</f>
        <v/>
      </c>
    </row>
    <row r="341">
      <c r="A341" t="n">
        <v>340</v>
      </c>
      <c r="B341" t="inlineStr">
        <is>
          <t>次卫-坐便器</t>
        </is>
      </c>
      <c r="C341" t="inlineStr">
        <is>
          <t>甲供</t>
        </is>
      </c>
      <c r="D341" t="inlineStr">
        <is>
          <t>套</t>
        </is>
      </c>
      <c r="E341" t="inlineStr">
        <is>
          <t>D3</t>
        </is>
      </c>
      <c r="F341" t="n">
        <v>2</v>
      </c>
      <c r="G341" s="4" t="n">
        <v>2</v>
      </c>
      <c r="H341" s="5" t="n"/>
      <c r="I341" s="4" t="n">
        <v>4</v>
      </c>
      <c r="J341" s="6">
        <f>H341*F341</f>
        <v/>
      </c>
      <c r="K341" s="6">
        <f>J341-I341</f>
        <v/>
      </c>
      <c r="L341" s="7">
        <f>IF(I341=0,"",K341/I341)</f>
        <v/>
      </c>
      <c r="M341" s="6">
        <f>IF(ABS(L341)&lt;0.02," 合理",IF(ABS(L341)&lt;0.05," 关注"," 复查"))</f>
        <v/>
      </c>
    </row>
    <row r="342">
      <c r="A342" t="n">
        <v>341</v>
      </c>
      <c r="B342" t="inlineStr">
        <is>
          <t>次卫-坐便器</t>
        </is>
      </c>
      <c r="C342" t="inlineStr">
        <is>
          <t>甲供</t>
        </is>
      </c>
      <c r="D342" t="inlineStr">
        <is>
          <t>套</t>
        </is>
      </c>
      <c r="E342" t="inlineStr">
        <is>
          <t>D4</t>
        </is>
      </c>
      <c r="F342" t="n">
        <v>2</v>
      </c>
      <c r="G342" s="4" t="n">
        <v>2</v>
      </c>
      <c r="H342" s="5" t="n"/>
      <c r="I342" s="4" t="n">
        <v>4</v>
      </c>
      <c r="J342" s="6">
        <f>H342*F342</f>
        <v/>
      </c>
      <c r="K342" s="6">
        <f>J342-I342</f>
        <v/>
      </c>
      <c r="L342" s="7">
        <f>IF(I342=0,"",K342/I342)</f>
        <v/>
      </c>
      <c r="M342" s="6">
        <f>IF(ABS(L342)&lt;0.02," 合理",IF(ABS(L342)&lt;0.05," 关注"," 复查"))</f>
        <v/>
      </c>
    </row>
    <row r="343">
      <c r="A343" t="n">
        <v>342</v>
      </c>
      <c r="B343" t="inlineStr">
        <is>
          <t>次卫-坐便器</t>
        </is>
      </c>
      <c r="C343" t="inlineStr">
        <is>
          <t>甲供</t>
        </is>
      </c>
      <c r="D343" t="inlineStr">
        <is>
          <t>套</t>
        </is>
      </c>
      <c r="E343" t="inlineStr">
        <is>
          <t>E</t>
        </is>
      </c>
      <c r="F343" t="n">
        <v>28</v>
      </c>
      <c r="G343" s="4" t="n">
        <v>2</v>
      </c>
      <c r="H343" s="5" t="n"/>
      <c r="I343" s="4" t="n">
        <v>56</v>
      </c>
      <c r="J343" s="6">
        <f>H343*F343</f>
        <v/>
      </c>
      <c r="K343" s="6">
        <f>J343-I343</f>
        <v/>
      </c>
      <c r="L343" s="7">
        <f>IF(I343=0,"",K343/I343)</f>
        <v/>
      </c>
      <c r="M343" s="6">
        <f>IF(ABS(L343)&lt;0.02," 合理",IF(ABS(L343)&lt;0.05," 关注"," 复查"))</f>
        <v/>
      </c>
    </row>
    <row r="344">
      <c r="A344" t="n">
        <v>343</v>
      </c>
      <c r="B344" t="inlineStr">
        <is>
          <t>主卫-花洒</t>
        </is>
      </c>
      <c r="C344" t="inlineStr">
        <is>
          <t>甲供</t>
        </is>
      </c>
      <c r="D344" t="inlineStr">
        <is>
          <t>套</t>
        </is>
      </c>
      <c r="E344" t="inlineStr">
        <is>
          <t>A1</t>
        </is>
      </c>
      <c r="F344" t="n">
        <v>34</v>
      </c>
      <c r="G344" s="4" t="n">
        <v>1</v>
      </c>
      <c r="H344" s="5" t="n"/>
      <c r="I344" s="4" t="n">
        <v>34</v>
      </c>
      <c r="J344" s="6">
        <f>H344*F344</f>
        <v/>
      </c>
      <c r="K344" s="6">
        <f>J344-I344</f>
        <v/>
      </c>
      <c r="L344" s="7">
        <f>IF(I344=0,"",K344/I344)</f>
        <v/>
      </c>
      <c r="M344" s="6">
        <f>IF(ABS(L344)&lt;0.02," 合理",IF(ABS(L344)&lt;0.05," 关注"," 复查"))</f>
        <v/>
      </c>
    </row>
    <row r="345">
      <c r="A345" t="n">
        <v>344</v>
      </c>
      <c r="B345" t="inlineStr">
        <is>
          <t>主卫-花洒</t>
        </is>
      </c>
      <c r="C345" t="inlineStr">
        <is>
          <t>甲供</t>
        </is>
      </c>
      <c r="D345" t="inlineStr">
        <is>
          <t>套</t>
        </is>
      </c>
      <c r="E345" t="inlineStr">
        <is>
          <t>B1</t>
        </is>
      </c>
      <c r="F345" t="n">
        <v>68</v>
      </c>
      <c r="G345" s="4" t="n">
        <v>1</v>
      </c>
      <c r="H345" s="5" t="n"/>
      <c r="I345" s="4" t="n">
        <v>68</v>
      </c>
      <c r="J345" s="6">
        <f>H345*F345</f>
        <v/>
      </c>
      <c r="K345" s="6">
        <f>J345-I345</f>
        <v/>
      </c>
      <c r="L345" s="7">
        <f>IF(I345=0,"",K345/I345)</f>
        <v/>
      </c>
      <c r="M345" s="6">
        <f>IF(ABS(L345)&lt;0.02," 合理",IF(ABS(L345)&lt;0.05," 关注"," 复查"))</f>
        <v/>
      </c>
    </row>
    <row r="346">
      <c r="A346" t="n">
        <v>345</v>
      </c>
      <c r="B346" t="inlineStr">
        <is>
          <t>主卫-花洒</t>
        </is>
      </c>
      <c r="C346" t="inlineStr">
        <is>
          <t>甲供</t>
        </is>
      </c>
      <c r="D346" t="inlineStr">
        <is>
          <t>套</t>
        </is>
      </c>
      <c r="E346" t="inlineStr">
        <is>
          <t>B2</t>
        </is>
      </c>
      <c r="F346" t="n">
        <v>17</v>
      </c>
      <c r="G346" s="4" t="n">
        <v>1</v>
      </c>
      <c r="H346" s="5" t="n"/>
      <c r="I346" s="4" t="n">
        <v>17</v>
      </c>
      <c r="J346" s="6">
        <f>H346*F346</f>
        <v/>
      </c>
      <c r="K346" s="6">
        <f>J346-I346</f>
        <v/>
      </c>
      <c r="L346" s="7">
        <f>IF(I346=0,"",K346/I346)</f>
        <v/>
      </c>
      <c r="M346" s="6">
        <f>IF(ABS(L346)&lt;0.02," 合理",IF(ABS(L346)&lt;0.05," 关注"," 复查"))</f>
        <v/>
      </c>
    </row>
    <row r="347">
      <c r="A347" t="n">
        <v>346</v>
      </c>
      <c r="B347" t="inlineStr">
        <is>
          <t>主卫-花洒</t>
        </is>
      </c>
      <c r="C347" t="inlineStr">
        <is>
          <t>甲供</t>
        </is>
      </c>
      <c r="D347" t="inlineStr">
        <is>
          <t>套</t>
        </is>
      </c>
      <c r="E347" t="inlineStr">
        <is>
          <t>C</t>
        </is>
      </c>
      <c r="F347" t="n">
        <v>17</v>
      </c>
      <c r="G347" s="4" t="n">
        <v>1</v>
      </c>
      <c r="H347" s="5" t="n"/>
      <c r="I347" s="4" t="n">
        <v>17</v>
      </c>
      <c r="J347" s="6">
        <f>H347*F347</f>
        <v/>
      </c>
      <c r="K347" s="6">
        <f>J347-I347</f>
        <v/>
      </c>
      <c r="L347" s="7">
        <f>IF(I347=0,"",K347/I347)</f>
        <v/>
      </c>
      <c r="M347" s="6">
        <f>IF(ABS(L347)&lt;0.02," 合理",IF(ABS(L347)&lt;0.05," 关注"," 复查"))</f>
        <v/>
      </c>
    </row>
    <row r="348">
      <c r="A348" t="n">
        <v>347</v>
      </c>
      <c r="B348" t="inlineStr">
        <is>
          <t>主卫-花洒</t>
        </is>
      </c>
      <c r="C348" t="inlineStr">
        <is>
          <t>甲供</t>
        </is>
      </c>
      <c r="D348" t="inlineStr">
        <is>
          <t>套</t>
        </is>
      </c>
      <c r="E348" t="inlineStr">
        <is>
          <t>D1</t>
        </is>
      </c>
      <c r="F348" t="n">
        <v>34</v>
      </c>
      <c r="G348" s="4" t="n">
        <v>1</v>
      </c>
      <c r="H348" s="5" t="n"/>
      <c r="I348" s="4" t="n">
        <v>34</v>
      </c>
      <c r="J348" s="6">
        <f>H348*F348</f>
        <v/>
      </c>
      <c r="K348" s="6">
        <f>J348-I348</f>
        <v/>
      </c>
      <c r="L348" s="7">
        <f>IF(I348=0,"",K348/I348)</f>
        <v/>
      </c>
      <c r="M348" s="6">
        <f>IF(ABS(L348)&lt;0.02," 合理",IF(ABS(L348)&lt;0.05," 关注"," 复查"))</f>
        <v/>
      </c>
    </row>
    <row r="349">
      <c r="A349" t="n">
        <v>348</v>
      </c>
      <c r="B349" t="inlineStr">
        <is>
          <t>主卫-花洒</t>
        </is>
      </c>
      <c r="C349" t="inlineStr">
        <is>
          <t>甲供</t>
        </is>
      </c>
      <c r="D349" t="inlineStr">
        <is>
          <t>套</t>
        </is>
      </c>
      <c r="E349" t="inlineStr">
        <is>
          <t>D2</t>
        </is>
      </c>
      <c r="F349" t="n">
        <v>15</v>
      </c>
      <c r="G349" s="4" t="n">
        <v>1</v>
      </c>
      <c r="H349" s="5" t="n"/>
      <c r="I349" s="4" t="n">
        <v>15</v>
      </c>
      <c r="J349" s="6">
        <f>H349*F349</f>
        <v/>
      </c>
      <c r="K349" s="6">
        <f>J349-I349</f>
        <v/>
      </c>
      <c r="L349" s="7">
        <f>IF(I349=0,"",K349/I349)</f>
        <v/>
      </c>
      <c r="M349" s="6">
        <f>IF(ABS(L349)&lt;0.02," 合理",IF(ABS(L349)&lt;0.05," 关注"," 复查"))</f>
        <v/>
      </c>
    </row>
    <row r="350">
      <c r="A350" t="n">
        <v>349</v>
      </c>
      <c r="B350" t="inlineStr">
        <is>
          <t>主卫-花洒</t>
        </is>
      </c>
      <c r="C350" t="inlineStr">
        <is>
          <t>甲供</t>
        </is>
      </c>
      <c r="D350" t="inlineStr">
        <is>
          <t>套</t>
        </is>
      </c>
      <c r="E350" t="inlineStr">
        <is>
          <t>D3</t>
        </is>
      </c>
      <c r="F350" t="n">
        <v>2</v>
      </c>
      <c r="G350" s="4" t="n">
        <v>1</v>
      </c>
      <c r="H350" s="5" t="n"/>
      <c r="I350" s="4" t="n">
        <v>2</v>
      </c>
      <c r="J350" s="6">
        <f>H350*F350</f>
        <v/>
      </c>
      <c r="K350" s="6">
        <f>J350-I350</f>
        <v/>
      </c>
      <c r="L350" s="7">
        <f>IF(I350=0,"",K350/I350)</f>
        <v/>
      </c>
      <c r="M350" s="6">
        <f>IF(ABS(L350)&lt;0.02," 合理",IF(ABS(L350)&lt;0.05," 关注"," 复查"))</f>
        <v/>
      </c>
    </row>
    <row r="351">
      <c r="A351" t="n">
        <v>350</v>
      </c>
      <c r="B351" t="inlineStr">
        <is>
          <t>主卫-花洒</t>
        </is>
      </c>
      <c r="C351" t="inlineStr">
        <is>
          <t>甲供</t>
        </is>
      </c>
      <c r="D351" t="inlineStr">
        <is>
          <t>套</t>
        </is>
      </c>
      <c r="E351" t="inlineStr">
        <is>
          <t>D4</t>
        </is>
      </c>
      <c r="F351" t="n">
        <v>2</v>
      </c>
      <c r="G351" s="4" t="n">
        <v>1</v>
      </c>
      <c r="H351" s="5" t="n"/>
      <c r="I351" s="4" t="n">
        <v>2</v>
      </c>
      <c r="J351" s="6">
        <f>H351*F351</f>
        <v/>
      </c>
      <c r="K351" s="6">
        <f>J351-I351</f>
        <v/>
      </c>
      <c r="L351" s="7">
        <f>IF(I351=0,"",K351/I351)</f>
        <v/>
      </c>
      <c r="M351" s="6">
        <f>IF(ABS(L351)&lt;0.02," 合理",IF(ABS(L351)&lt;0.05," 关注"," 复查"))</f>
        <v/>
      </c>
    </row>
    <row r="352">
      <c r="A352" t="n">
        <v>351</v>
      </c>
      <c r="B352" t="inlineStr">
        <is>
          <t>主卫-花洒</t>
        </is>
      </c>
      <c r="C352" t="inlineStr">
        <is>
          <t>甲供</t>
        </is>
      </c>
      <c r="D352" t="inlineStr">
        <is>
          <t>套</t>
        </is>
      </c>
      <c r="E352" t="inlineStr">
        <is>
          <t>E</t>
        </is>
      </c>
      <c r="F352" t="n">
        <v>28</v>
      </c>
      <c r="G352" s="4" t="n">
        <v>1</v>
      </c>
      <c r="H352" s="5" t="n"/>
      <c r="I352" s="4" t="n">
        <v>28</v>
      </c>
      <c r="J352" s="6">
        <f>H352*F352</f>
        <v/>
      </c>
      <c r="K352" s="6">
        <f>J352-I352</f>
        <v/>
      </c>
      <c r="L352" s="7">
        <f>IF(I352=0,"",K352/I352)</f>
        <v/>
      </c>
      <c r="M352" s="6">
        <f>IF(ABS(L352)&lt;0.02," 合理",IF(ABS(L352)&lt;0.05," 关注"," 复查"))</f>
        <v/>
      </c>
    </row>
    <row r="353">
      <c r="A353" t="n">
        <v>352</v>
      </c>
      <c r="B353" t="inlineStr">
        <is>
          <t>次卫-花洒</t>
        </is>
      </c>
      <c r="C353" t="inlineStr">
        <is>
          <t>甲供</t>
        </is>
      </c>
      <c r="D353" t="inlineStr">
        <is>
          <t>套</t>
        </is>
      </c>
      <c r="E353" t="inlineStr">
        <is>
          <t>A1</t>
        </is>
      </c>
      <c r="F353" t="n">
        <v>34</v>
      </c>
      <c r="G353" s="4" t="n">
        <v>1</v>
      </c>
      <c r="H353" s="5" t="n"/>
      <c r="I353" s="4" t="n">
        <v>34</v>
      </c>
      <c r="J353" s="6">
        <f>H353*F353</f>
        <v/>
      </c>
      <c r="K353" s="6">
        <f>J353-I353</f>
        <v/>
      </c>
      <c r="L353" s="7">
        <f>IF(I353=0,"",K353/I353)</f>
        <v/>
      </c>
      <c r="M353" s="6">
        <f>IF(ABS(L353)&lt;0.02," 合理",IF(ABS(L353)&lt;0.05," 关注"," 复查"))</f>
        <v/>
      </c>
    </row>
    <row r="354">
      <c r="A354" t="n">
        <v>353</v>
      </c>
      <c r="B354" t="inlineStr">
        <is>
          <t>次卫-花洒</t>
        </is>
      </c>
      <c r="C354" t="inlineStr">
        <is>
          <t>甲供</t>
        </is>
      </c>
      <c r="D354" t="inlineStr">
        <is>
          <t>套</t>
        </is>
      </c>
      <c r="E354" t="inlineStr">
        <is>
          <t>B1</t>
        </is>
      </c>
      <c r="F354" t="n">
        <v>68</v>
      </c>
      <c r="G354" s="4" t="n">
        <v>2</v>
      </c>
      <c r="H354" s="5" t="n"/>
      <c r="I354" s="4" t="n">
        <v>136</v>
      </c>
      <c r="J354" s="6">
        <f>H354*F354</f>
        <v/>
      </c>
      <c r="K354" s="6">
        <f>J354-I354</f>
        <v/>
      </c>
      <c r="L354" s="7">
        <f>IF(I354=0,"",K354/I354)</f>
        <v/>
      </c>
      <c r="M354" s="6">
        <f>IF(ABS(L354)&lt;0.02," 合理",IF(ABS(L354)&lt;0.05," 关注"," 复查"))</f>
        <v/>
      </c>
    </row>
    <row r="355">
      <c r="A355" t="n">
        <v>354</v>
      </c>
      <c r="B355" t="inlineStr">
        <is>
          <t>次卫-花洒</t>
        </is>
      </c>
      <c r="C355" t="inlineStr">
        <is>
          <t>甲供</t>
        </is>
      </c>
      <c r="D355" t="inlineStr">
        <is>
          <t>套</t>
        </is>
      </c>
      <c r="E355" t="inlineStr">
        <is>
          <t>B2</t>
        </is>
      </c>
      <c r="F355" t="n">
        <v>17</v>
      </c>
      <c r="G355" s="4" t="n">
        <v>2</v>
      </c>
      <c r="H355" s="5" t="n"/>
      <c r="I355" s="4" t="n">
        <v>34</v>
      </c>
      <c r="J355" s="6">
        <f>H355*F355</f>
        <v/>
      </c>
      <c r="K355" s="6">
        <f>J355-I355</f>
        <v/>
      </c>
      <c r="L355" s="7">
        <f>IF(I355=0,"",K355/I355)</f>
        <v/>
      </c>
      <c r="M355" s="6">
        <f>IF(ABS(L355)&lt;0.02," 合理",IF(ABS(L355)&lt;0.05," 关注"," 复查"))</f>
        <v/>
      </c>
    </row>
    <row r="356">
      <c r="A356" t="n">
        <v>355</v>
      </c>
      <c r="B356" t="inlineStr">
        <is>
          <t>次卫-花洒</t>
        </is>
      </c>
      <c r="C356" t="inlineStr">
        <is>
          <t>甲供</t>
        </is>
      </c>
      <c r="D356" t="inlineStr">
        <is>
          <t>套</t>
        </is>
      </c>
      <c r="E356" t="inlineStr">
        <is>
          <t>C</t>
        </is>
      </c>
      <c r="F356" t="n">
        <v>17</v>
      </c>
      <c r="G356" s="4" t="n">
        <v>2</v>
      </c>
      <c r="H356" s="5" t="n"/>
      <c r="I356" s="4" t="n">
        <v>34</v>
      </c>
      <c r="J356" s="6">
        <f>H356*F356</f>
        <v/>
      </c>
      <c r="K356" s="6">
        <f>J356-I356</f>
        <v/>
      </c>
      <c r="L356" s="7">
        <f>IF(I356=0,"",K356/I356)</f>
        <v/>
      </c>
      <c r="M356" s="6">
        <f>IF(ABS(L356)&lt;0.02," 合理",IF(ABS(L356)&lt;0.05," 关注"," 复查"))</f>
        <v/>
      </c>
    </row>
    <row r="357">
      <c r="A357" t="n">
        <v>356</v>
      </c>
      <c r="B357" t="inlineStr">
        <is>
          <t>次卫-花洒</t>
        </is>
      </c>
      <c r="C357" t="inlineStr">
        <is>
          <t>甲供</t>
        </is>
      </c>
      <c r="D357" t="inlineStr">
        <is>
          <t>套</t>
        </is>
      </c>
      <c r="E357" t="inlineStr">
        <is>
          <t>D1</t>
        </is>
      </c>
      <c r="F357" t="n">
        <v>34</v>
      </c>
      <c r="G357" s="4" t="n">
        <v>2</v>
      </c>
      <c r="H357" s="5" t="n"/>
      <c r="I357" s="4" t="n">
        <v>68</v>
      </c>
      <c r="J357" s="6">
        <f>H357*F357</f>
        <v/>
      </c>
      <c r="K357" s="6">
        <f>J357-I357</f>
        <v/>
      </c>
      <c r="L357" s="7">
        <f>IF(I357=0,"",K357/I357)</f>
        <v/>
      </c>
      <c r="M357" s="6">
        <f>IF(ABS(L357)&lt;0.02," 合理",IF(ABS(L357)&lt;0.05," 关注"," 复查"))</f>
        <v/>
      </c>
    </row>
    <row r="358">
      <c r="A358" t="n">
        <v>357</v>
      </c>
      <c r="B358" t="inlineStr">
        <is>
          <t>次卫-花洒</t>
        </is>
      </c>
      <c r="C358" t="inlineStr">
        <is>
          <t>甲供</t>
        </is>
      </c>
      <c r="D358" t="inlineStr">
        <is>
          <t>套</t>
        </is>
      </c>
      <c r="E358" t="inlineStr">
        <is>
          <t>D2</t>
        </is>
      </c>
      <c r="F358" t="n">
        <v>15</v>
      </c>
      <c r="G358" s="4" t="n">
        <v>2</v>
      </c>
      <c r="H358" s="5" t="n"/>
      <c r="I358" s="4" t="n">
        <v>30</v>
      </c>
      <c r="J358" s="6">
        <f>H358*F358</f>
        <v/>
      </c>
      <c r="K358" s="6">
        <f>J358-I358</f>
        <v/>
      </c>
      <c r="L358" s="7">
        <f>IF(I358=0,"",K358/I358)</f>
        <v/>
      </c>
      <c r="M358" s="6">
        <f>IF(ABS(L358)&lt;0.02," 合理",IF(ABS(L358)&lt;0.05," 关注"," 复查"))</f>
        <v/>
      </c>
    </row>
    <row r="359">
      <c r="A359" t="n">
        <v>358</v>
      </c>
      <c r="B359" t="inlineStr">
        <is>
          <t>次卫-花洒</t>
        </is>
      </c>
      <c r="C359" t="inlineStr">
        <is>
          <t>甲供</t>
        </is>
      </c>
      <c r="D359" t="inlineStr">
        <is>
          <t>套</t>
        </is>
      </c>
      <c r="E359" t="inlineStr">
        <is>
          <t>D3</t>
        </is>
      </c>
      <c r="F359" t="n">
        <v>2</v>
      </c>
      <c r="G359" s="4" t="n">
        <v>2</v>
      </c>
      <c r="H359" s="5" t="n"/>
      <c r="I359" s="4" t="n">
        <v>4</v>
      </c>
      <c r="J359" s="6">
        <f>H359*F359</f>
        <v/>
      </c>
      <c r="K359" s="6">
        <f>J359-I359</f>
        <v/>
      </c>
      <c r="L359" s="7">
        <f>IF(I359=0,"",K359/I359)</f>
        <v/>
      </c>
      <c r="M359" s="6">
        <f>IF(ABS(L359)&lt;0.02," 合理",IF(ABS(L359)&lt;0.05," 关注"," 复查"))</f>
        <v/>
      </c>
    </row>
    <row r="360">
      <c r="A360" t="n">
        <v>359</v>
      </c>
      <c r="B360" t="inlineStr">
        <is>
          <t>次卫-花洒</t>
        </is>
      </c>
      <c r="C360" t="inlineStr">
        <is>
          <t>甲供</t>
        </is>
      </c>
      <c r="D360" t="inlineStr">
        <is>
          <t>套</t>
        </is>
      </c>
      <c r="E360" t="inlineStr">
        <is>
          <t>D4</t>
        </is>
      </c>
      <c r="F360" t="n">
        <v>2</v>
      </c>
      <c r="G360" s="4" t="n">
        <v>2</v>
      </c>
      <c r="H360" s="5" t="n"/>
      <c r="I360" s="4" t="n">
        <v>4</v>
      </c>
      <c r="J360" s="6">
        <f>H360*F360</f>
        <v/>
      </c>
      <c r="K360" s="6">
        <f>J360-I360</f>
        <v/>
      </c>
      <c r="L360" s="7">
        <f>IF(I360=0,"",K360/I360)</f>
        <v/>
      </c>
      <c r="M360" s="6">
        <f>IF(ABS(L360)&lt;0.02," 合理",IF(ABS(L360)&lt;0.05," 关注"," 复查"))</f>
        <v/>
      </c>
    </row>
    <row r="361">
      <c r="A361" t="n">
        <v>360</v>
      </c>
      <c r="B361" t="inlineStr">
        <is>
          <t>次卫-花洒</t>
        </is>
      </c>
      <c r="C361" t="inlineStr">
        <is>
          <t>甲供</t>
        </is>
      </c>
      <c r="D361" t="inlineStr">
        <is>
          <t>套</t>
        </is>
      </c>
      <c r="E361" t="inlineStr">
        <is>
          <t>E</t>
        </is>
      </c>
      <c r="F361" t="n">
        <v>28</v>
      </c>
      <c r="G361" s="4" t="n">
        <v>2</v>
      </c>
      <c r="H361" s="5" t="n"/>
      <c r="I361" s="4" t="n">
        <v>56</v>
      </c>
      <c r="J361" s="6">
        <f>H361*F361</f>
        <v/>
      </c>
      <c r="K361" s="6">
        <f>J361-I361</f>
        <v/>
      </c>
      <c r="L361" s="7">
        <f>IF(I361=0,"",K361/I361)</f>
        <v/>
      </c>
      <c r="M361" s="6">
        <f>IF(ABS(L361)&lt;0.02," 合理",IF(ABS(L361)&lt;0.05," 关注"," 复查"))</f>
        <v/>
      </c>
    </row>
    <row r="362">
      <c r="A362" t="n">
        <v>361</v>
      </c>
      <c r="B362" t="inlineStr">
        <is>
          <t>主卫-洗脸盆</t>
        </is>
      </c>
      <c r="C362" t="inlineStr">
        <is>
          <t>甲供</t>
        </is>
      </c>
      <c r="D362" t="inlineStr">
        <is>
          <t>套</t>
        </is>
      </c>
      <c r="E362" t="inlineStr">
        <is>
          <t>A1</t>
        </is>
      </c>
      <c r="F362" t="n">
        <v>34</v>
      </c>
      <c r="G362" s="4" t="n">
        <v>1</v>
      </c>
      <c r="H362" s="5" t="n"/>
      <c r="I362" s="4" t="n">
        <v>34</v>
      </c>
      <c r="J362" s="6">
        <f>H362*F362</f>
        <v/>
      </c>
      <c r="K362" s="6">
        <f>J362-I362</f>
        <v/>
      </c>
      <c r="L362" s="7">
        <f>IF(I362=0,"",K362/I362)</f>
        <v/>
      </c>
      <c r="M362" s="6">
        <f>IF(ABS(L362)&lt;0.02," 合理",IF(ABS(L362)&lt;0.05," 关注"," 复查"))</f>
        <v/>
      </c>
    </row>
    <row r="363">
      <c r="A363" t="n">
        <v>362</v>
      </c>
      <c r="B363" t="inlineStr">
        <is>
          <t>主卫-洗脸盆</t>
        </is>
      </c>
      <c r="C363" t="inlineStr">
        <is>
          <t>甲供</t>
        </is>
      </c>
      <c r="D363" t="inlineStr">
        <is>
          <t>套</t>
        </is>
      </c>
      <c r="E363" t="inlineStr">
        <is>
          <t>B1</t>
        </is>
      </c>
      <c r="F363" t="n">
        <v>68</v>
      </c>
      <c r="G363" s="4" t="n">
        <v>1</v>
      </c>
      <c r="H363" s="5" t="n"/>
      <c r="I363" s="4" t="n">
        <v>68</v>
      </c>
      <c r="J363" s="6">
        <f>H363*F363</f>
        <v/>
      </c>
      <c r="K363" s="6">
        <f>J363-I363</f>
        <v/>
      </c>
      <c r="L363" s="7">
        <f>IF(I363=0,"",K363/I363)</f>
        <v/>
      </c>
      <c r="M363" s="6">
        <f>IF(ABS(L363)&lt;0.02," 合理",IF(ABS(L363)&lt;0.05," 关注"," 复查"))</f>
        <v/>
      </c>
    </row>
    <row r="364">
      <c r="A364" t="n">
        <v>363</v>
      </c>
      <c r="B364" t="inlineStr">
        <is>
          <t>主卫-洗脸盆</t>
        </is>
      </c>
      <c r="C364" t="inlineStr">
        <is>
          <t>甲供</t>
        </is>
      </c>
      <c r="D364" t="inlineStr">
        <is>
          <t>套</t>
        </is>
      </c>
      <c r="E364" t="inlineStr">
        <is>
          <t>B2</t>
        </is>
      </c>
      <c r="F364" t="n">
        <v>17</v>
      </c>
      <c r="G364" s="4" t="n">
        <v>1</v>
      </c>
      <c r="H364" s="5" t="n"/>
      <c r="I364" s="4" t="n">
        <v>17</v>
      </c>
      <c r="J364" s="6">
        <f>H364*F364</f>
        <v/>
      </c>
      <c r="K364" s="6">
        <f>J364-I364</f>
        <v/>
      </c>
      <c r="L364" s="7">
        <f>IF(I364=0,"",K364/I364)</f>
        <v/>
      </c>
      <c r="M364" s="6">
        <f>IF(ABS(L364)&lt;0.02," 合理",IF(ABS(L364)&lt;0.05," 关注"," 复查"))</f>
        <v/>
      </c>
    </row>
    <row r="365">
      <c r="A365" t="n">
        <v>364</v>
      </c>
      <c r="B365" t="inlineStr">
        <is>
          <t>主卫-洗脸盆</t>
        </is>
      </c>
      <c r="C365" t="inlineStr">
        <is>
          <t>甲供</t>
        </is>
      </c>
      <c r="D365" t="inlineStr">
        <is>
          <t>套</t>
        </is>
      </c>
      <c r="E365" t="inlineStr">
        <is>
          <t>C</t>
        </is>
      </c>
      <c r="F365" t="n">
        <v>17</v>
      </c>
      <c r="G365" s="4" t="n">
        <v>2</v>
      </c>
      <c r="H365" s="5" t="n"/>
      <c r="I365" s="4" t="n">
        <v>34</v>
      </c>
      <c r="J365" s="6">
        <f>H365*F365</f>
        <v/>
      </c>
      <c r="K365" s="6">
        <f>J365-I365</f>
        <v/>
      </c>
      <c r="L365" s="7">
        <f>IF(I365=0,"",K365/I365)</f>
        <v/>
      </c>
      <c r="M365" s="6">
        <f>IF(ABS(L365)&lt;0.02," 合理",IF(ABS(L365)&lt;0.05," 关注"," 复查"))</f>
        <v/>
      </c>
    </row>
    <row r="366">
      <c r="A366" t="n">
        <v>365</v>
      </c>
      <c r="B366" t="inlineStr">
        <is>
          <t>主卫-洗脸盆</t>
        </is>
      </c>
      <c r="C366" t="inlineStr">
        <is>
          <t>甲供</t>
        </is>
      </c>
      <c r="D366" t="inlineStr">
        <is>
          <t>套</t>
        </is>
      </c>
      <c r="E366" t="inlineStr">
        <is>
          <t>D1</t>
        </is>
      </c>
      <c r="F366" t="n">
        <v>34</v>
      </c>
      <c r="G366" s="4" t="n">
        <v>2</v>
      </c>
      <c r="H366" s="5" t="n"/>
      <c r="I366" s="4" t="n">
        <v>68</v>
      </c>
      <c r="J366" s="6">
        <f>H366*F366</f>
        <v/>
      </c>
      <c r="K366" s="6">
        <f>J366-I366</f>
        <v/>
      </c>
      <c r="L366" s="7">
        <f>IF(I366=0,"",K366/I366)</f>
        <v/>
      </c>
      <c r="M366" s="6">
        <f>IF(ABS(L366)&lt;0.02," 合理",IF(ABS(L366)&lt;0.05," 关注"," 复查"))</f>
        <v/>
      </c>
    </row>
    <row r="367">
      <c r="A367" t="n">
        <v>366</v>
      </c>
      <c r="B367" t="inlineStr">
        <is>
          <t>主卫-洗脸盆</t>
        </is>
      </c>
      <c r="C367" t="inlineStr">
        <is>
          <t>甲供</t>
        </is>
      </c>
      <c r="D367" t="inlineStr">
        <is>
          <t>套</t>
        </is>
      </c>
      <c r="E367" t="inlineStr">
        <is>
          <t>D2</t>
        </is>
      </c>
      <c r="F367" t="n">
        <v>15</v>
      </c>
      <c r="G367" s="4" t="n">
        <v>2</v>
      </c>
      <c r="H367" s="5" t="n"/>
      <c r="I367" s="4" t="n">
        <v>30</v>
      </c>
      <c r="J367" s="6">
        <f>H367*F367</f>
        <v/>
      </c>
      <c r="K367" s="6">
        <f>J367-I367</f>
        <v/>
      </c>
      <c r="L367" s="7">
        <f>IF(I367=0,"",K367/I367)</f>
        <v/>
      </c>
      <c r="M367" s="6">
        <f>IF(ABS(L367)&lt;0.02," 合理",IF(ABS(L367)&lt;0.05," 关注"," 复查"))</f>
        <v/>
      </c>
    </row>
    <row r="368">
      <c r="A368" t="n">
        <v>367</v>
      </c>
      <c r="B368" t="inlineStr">
        <is>
          <t>主卫-洗脸盆</t>
        </is>
      </c>
      <c r="C368" t="inlineStr">
        <is>
          <t>甲供</t>
        </is>
      </c>
      <c r="D368" t="inlineStr">
        <is>
          <t>套</t>
        </is>
      </c>
      <c r="E368" t="inlineStr">
        <is>
          <t>D3</t>
        </is>
      </c>
      <c r="F368" t="n">
        <v>2</v>
      </c>
      <c r="G368" s="4" t="n">
        <v>2</v>
      </c>
      <c r="H368" s="5" t="n"/>
      <c r="I368" s="4" t="n">
        <v>4</v>
      </c>
      <c r="J368" s="6">
        <f>H368*F368</f>
        <v/>
      </c>
      <c r="K368" s="6">
        <f>J368-I368</f>
        <v/>
      </c>
      <c r="L368" s="7">
        <f>IF(I368=0,"",K368/I368)</f>
        <v/>
      </c>
      <c r="M368" s="6">
        <f>IF(ABS(L368)&lt;0.02," 合理",IF(ABS(L368)&lt;0.05," 关注"," 复查"))</f>
        <v/>
      </c>
    </row>
    <row r="369">
      <c r="A369" t="n">
        <v>368</v>
      </c>
      <c r="B369" t="inlineStr">
        <is>
          <t>主卫-洗脸盆</t>
        </is>
      </c>
      <c r="C369" t="inlineStr">
        <is>
          <t>甲供</t>
        </is>
      </c>
      <c r="D369" t="inlineStr">
        <is>
          <t>套</t>
        </is>
      </c>
      <c r="E369" t="inlineStr">
        <is>
          <t>D4</t>
        </is>
      </c>
      <c r="F369" t="n">
        <v>2</v>
      </c>
      <c r="G369" s="4" t="n">
        <v>2</v>
      </c>
      <c r="H369" s="5" t="n"/>
      <c r="I369" s="4" t="n">
        <v>4</v>
      </c>
      <c r="J369" s="6">
        <f>H369*F369</f>
        <v/>
      </c>
      <c r="K369" s="6">
        <f>J369-I369</f>
        <v/>
      </c>
      <c r="L369" s="7">
        <f>IF(I369=0,"",K369/I369)</f>
        <v/>
      </c>
      <c r="M369" s="6">
        <f>IF(ABS(L369)&lt;0.02," 合理",IF(ABS(L369)&lt;0.05," 关注"," 复查"))</f>
        <v/>
      </c>
    </row>
    <row r="370">
      <c r="A370" t="n">
        <v>369</v>
      </c>
      <c r="B370" t="inlineStr">
        <is>
          <t>主卫-洗脸盆</t>
        </is>
      </c>
      <c r="C370" t="inlineStr">
        <is>
          <t>甲供</t>
        </is>
      </c>
      <c r="D370" t="inlineStr">
        <is>
          <t>套</t>
        </is>
      </c>
      <c r="E370" t="inlineStr">
        <is>
          <t>E</t>
        </is>
      </c>
      <c r="F370" t="n">
        <v>28</v>
      </c>
      <c r="G370" s="4" t="n">
        <v>2</v>
      </c>
      <c r="H370" s="5" t="n"/>
      <c r="I370" s="4" t="n">
        <v>56</v>
      </c>
      <c r="J370" s="6">
        <f>H370*F370</f>
        <v/>
      </c>
      <c r="K370" s="6">
        <f>J370-I370</f>
        <v/>
      </c>
      <c r="L370" s="7">
        <f>IF(I370=0,"",K370/I370)</f>
        <v/>
      </c>
      <c r="M370" s="6">
        <f>IF(ABS(L370)&lt;0.02," 合理",IF(ABS(L370)&lt;0.05," 关注"," 复查"))</f>
        <v/>
      </c>
    </row>
    <row r="371">
      <c r="A371" t="n">
        <v>370</v>
      </c>
      <c r="B371" t="inlineStr">
        <is>
          <t>次卫-洗脸盆</t>
        </is>
      </c>
      <c r="C371" t="inlineStr">
        <is>
          <t>甲供</t>
        </is>
      </c>
      <c r="D371" t="inlineStr">
        <is>
          <t>套</t>
        </is>
      </c>
      <c r="E371" t="inlineStr">
        <is>
          <t>A1</t>
        </is>
      </c>
      <c r="F371" t="n">
        <v>34</v>
      </c>
      <c r="G371" s="4" t="n">
        <v>1</v>
      </c>
      <c r="H371" s="5" t="n"/>
      <c r="I371" s="4" t="n">
        <v>34</v>
      </c>
      <c r="J371" s="6">
        <f>H371*F371</f>
        <v/>
      </c>
      <c r="K371" s="6">
        <f>J371-I371</f>
        <v/>
      </c>
      <c r="L371" s="7">
        <f>IF(I371=0,"",K371/I371)</f>
        <v/>
      </c>
      <c r="M371" s="6">
        <f>IF(ABS(L371)&lt;0.02," 合理",IF(ABS(L371)&lt;0.05," 关注"," 复查"))</f>
        <v/>
      </c>
    </row>
    <row r="372">
      <c r="A372" t="n">
        <v>371</v>
      </c>
      <c r="B372" t="inlineStr">
        <is>
          <t>次卫-洗脸盆</t>
        </is>
      </c>
      <c r="C372" t="inlineStr">
        <is>
          <t>甲供</t>
        </is>
      </c>
      <c r="D372" t="inlineStr">
        <is>
          <t>套</t>
        </is>
      </c>
      <c r="E372" t="inlineStr">
        <is>
          <t>B1</t>
        </is>
      </c>
      <c r="F372" t="n">
        <v>68</v>
      </c>
      <c r="G372" s="4" t="n">
        <v>2</v>
      </c>
      <c r="H372" s="5" t="n"/>
      <c r="I372" s="4" t="n">
        <v>136</v>
      </c>
      <c r="J372" s="6">
        <f>H372*F372</f>
        <v/>
      </c>
      <c r="K372" s="6">
        <f>J372-I372</f>
        <v/>
      </c>
      <c r="L372" s="7">
        <f>IF(I372=0,"",K372/I372)</f>
        <v/>
      </c>
      <c r="M372" s="6">
        <f>IF(ABS(L372)&lt;0.02," 合理",IF(ABS(L372)&lt;0.05," 关注"," 复查"))</f>
        <v/>
      </c>
    </row>
    <row r="373">
      <c r="A373" t="n">
        <v>372</v>
      </c>
      <c r="B373" t="inlineStr">
        <is>
          <t>次卫-洗脸盆</t>
        </is>
      </c>
      <c r="C373" t="inlineStr">
        <is>
          <t>甲供</t>
        </is>
      </c>
      <c r="D373" t="inlineStr">
        <is>
          <t>套</t>
        </is>
      </c>
      <c r="E373" t="inlineStr">
        <is>
          <t>B2</t>
        </is>
      </c>
      <c r="F373" t="n">
        <v>17</v>
      </c>
      <c r="G373" s="4" t="n">
        <v>2</v>
      </c>
      <c r="H373" s="5" t="n"/>
      <c r="I373" s="4" t="n">
        <v>34</v>
      </c>
      <c r="J373" s="6">
        <f>H373*F373</f>
        <v/>
      </c>
      <c r="K373" s="6">
        <f>J373-I373</f>
        <v/>
      </c>
      <c r="L373" s="7">
        <f>IF(I373=0,"",K373/I373)</f>
        <v/>
      </c>
      <c r="M373" s="6">
        <f>IF(ABS(L373)&lt;0.02," 合理",IF(ABS(L373)&lt;0.05," 关注"," 复查"))</f>
        <v/>
      </c>
    </row>
    <row r="374">
      <c r="A374" t="n">
        <v>373</v>
      </c>
      <c r="B374" t="inlineStr">
        <is>
          <t>次卫-洗脸盆</t>
        </is>
      </c>
      <c r="C374" t="inlineStr">
        <is>
          <t>甲供</t>
        </is>
      </c>
      <c r="D374" t="inlineStr">
        <is>
          <t>套</t>
        </is>
      </c>
      <c r="E374" t="inlineStr">
        <is>
          <t>C</t>
        </is>
      </c>
      <c r="F374" t="n">
        <v>17</v>
      </c>
      <c r="G374" s="4" t="n">
        <v>2</v>
      </c>
      <c r="H374" s="5" t="n"/>
      <c r="I374" s="4" t="n">
        <v>34</v>
      </c>
      <c r="J374" s="6">
        <f>H374*F374</f>
        <v/>
      </c>
      <c r="K374" s="6">
        <f>J374-I374</f>
        <v/>
      </c>
      <c r="L374" s="7">
        <f>IF(I374=0,"",K374/I374)</f>
        <v/>
      </c>
      <c r="M374" s="6">
        <f>IF(ABS(L374)&lt;0.02," 合理",IF(ABS(L374)&lt;0.05," 关注"," 复查"))</f>
        <v/>
      </c>
    </row>
    <row r="375">
      <c r="A375" t="n">
        <v>374</v>
      </c>
      <c r="B375" t="inlineStr">
        <is>
          <t>次卫-洗脸盆</t>
        </is>
      </c>
      <c r="C375" t="inlineStr">
        <is>
          <t>甲供</t>
        </is>
      </c>
      <c r="D375" t="inlineStr">
        <is>
          <t>套</t>
        </is>
      </c>
      <c r="E375" t="inlineStr">
        <is>
          <t>D1</t>
        </is>
      </c>
      <c r="F375" t="n">
        <v>34</v>
      </c>
      <c r="G375" s="4" t="n">
        <v>2</v>
      </c>
      <c r="H375" s="5" t="n"/>
      <c r="I375" s="4" t="n">
        <v>68</v>
      </c>
      <c r="J375" s="6">
        <f>H375*F375</f>
        <v/>
      </c>
      <c r="K375" s="6">
        <f>J375-I375</f>
        <v/>
      </c>
      <c r="L375" s="7">
        <f>IF(I375=0,"",K375/I375)</f>
        <v/>
      </c>
      <c r="M375" s="6">
        <f>IF(ABS(L375)&lt;0.02," 合理",IF(ABS(L375)&lt;0.05," 关注"," 复查"))</f>
        <v/>
      </c>
    </row>
    <row r="376">
      <c r="A376" t="n">
        <v>375</v>
      </c>
      <c r="B376" t="inlineStr">
        <is>
          <t>次卫-洗脸盆</t>
        </is>
      </c>
      <c r="C376" t="inlineStr">
        <is>
          <t>甲供</t>
        </is>
      </c>
      <c r="D376" t="inlineStr">
        <is>
          <t>套</t>
        </is>
      </c>
      <c r="E376" t="inlineStr">
        <is>
          <t>D2</t>
        </is>
      </c>
      <c r="F376" t="n">
        <v>15</v>
      </c>
      <c r="G376" s="4" t="n">
        <v>2</v>
      </c>
      <c r="H376" s="5" t="n"/>
      <c r="I376" s="4" t="n">
        <v>30</v>
      </c>
      <c r="J376" s="6">
        <f>H376*F376</f>
        <v/>
      </c>
      <c r="K376" s="6">
        <f>J376-I376</f>
        <v/>
      </c>
      <c r="L376" s="7">
        <f>IF(I376=0,"",K376/I376)</f>
        <v/>
      </c>
      <c r="M376" s="6">
        <f>IF(ABS(L376)&lt;0.02," 合理",IF(ABS(L376)&lt;0.05," 关注"," 复查"))</f>
        <v/>
      </c>
    </row>
    <row r="377">
      <c r="A377" t="n">
        <v>376</v>
      </c>
      <c r="B377" t="inlineStr">
        <is>
          <t>次卫-洗脸盆</t>
        </is>
      </c>
      <c r="C377" t="inlineStr">
        <is>
          <t>甲供</t>
        </is>
      </c>
      <c r="D377" t="inlineStr">
        <is>
          <t>套</t>
        </is>
      </c>
      <c r="E377" t="inlineStr">
        <is>
          <t>D3</t>
        </is>
      </c>
      <c r="F377" t="n">
        <v>2</v>
      </c>
      <c r="G377" s="4" t="n">
        <v>2</v>
      </c>
      <c r="H377" s="5" t="n"/>
      <c r="I377" s="4" t="n">
        <v>4</v>
      </c>
      <c r="J377" s="6">
        <f>H377*F377</f>
        <v/>
      </c>
      <c r="K377" s="6">
        <f>J377-I377</f>
        <v/>
      </c>
      <c r="L377" s="7">
        <f>IF(I377=0,"",K377/I377)</f>
        <v/>
      </c>
      <c r="M377" s="6">
        <f>IF(ABS(L377)&lt;0.02," 合理",IF(ABS(L377)&lt;0.05," 关注"," 复查"))</f>
        <v/>
      </c>
    </row>
    <row r="378">
      <c r="A378" t="n">
        <v>377</v>
      </c>
      <c r="B378" t="inlineStr">
        <is>
          <t>次卫-洗脸盆</t>
        </is>
      </c>
      <c r="C378" t="inlineStr">
        <is>
          <t>甲供</t>
        </is>
      </c>
      <c r="D378" t="inlineStr">
        <is>
          <t>套</t>
        </is>
      </c>
      <c r="E378" t="inlineStr">
        <is>
          <t>D4</t>
        </is>
      </c>
      <c r="F378" t="n">
        <v>2</v>
      </c>
      <c r="G378" s="4" t="n">
        <v>2</v>
      </c>
      <c r="H378" s="5" t="n"/>
      <c r="I378" s="4" t="n">
        <v>4</v>
      </c>
      <c r="J378" s="6">
        <f>H378*F378</f>
        <v/>
      </c>
      <c r="K378" s="6">
        <f>J378-I378</f>
        <v/>
      </c>
      <c r="L378" s="7">
        <f>IF(I378=0,"",K378/I378)</f>
        <v/>
      </c>
      <c r="M378" s="6">
        <f>IF(ABS(L378)&lt;0.02," 合理",IF(ABS(L378)&lt;0.05," 关注"," 复查"))</f>
        <v/>
      </c>
    </row>
    <row r="379">
      <c r="A379" t="n">
        <v>378</v>
      </c>
      <c r="B379" t="inlineStr">
        <is>
          <t>次卫-洗脸盆</t>
        </is>
      </c>
      <c r="C379" t="inlineStr">
        <is>
          <t>甲供</t>
        </is>
      </c>
      <c r="D379" t="inlineStr">
        <is>
          <t>套</t>
        </is>
      </c>
      <c r="E379" t="inlineStr">
        <is>
          <t>E</t>
        </is>
      </c>
      <c r="F379" t="n">
        <v>28</v>
      </c>
      <c r="G379" s="4" t="n">
        <v>2</v>
      </c>
      <c r="H379" s="5" t="n"/>
      <c r="I379" s="4" t="n">
        <v>56</v>
      </c>
      <c r="J379" s="6">
        <f>H379*F379</f>
        <v/>
      </c>
      <c r="K379" s="6">
        <f>J379-I379</f>
        <v/>
      </c>
      <c r="L379" s="7">
        <f>IF(I379=0,"",K379/I379)</f>
        <v/>
      </c>
      <c r="M379" s="6">
        <f>IF(ABS(L379)&lt;0.02," 合理",IF(ABS(L379)&lt;0.05," 关注"," 复查"))</f>
        <v/>
      </c>
    </row>
    <row r="380">
      <c r="A380" t="n">
        <v>379</v>
      </c>
      <c r="B380" t="inlineStr">
        <is>
          <t>主卫-洗脸盆水龙头</t>
        </is>
      </c>
      <c r="C380" t="inlineStr">
        <is>
          <t>甲供</t>
        </is>
      </c>
      <c r="D380" t="inlineStr">
        <is>
          <t>个</t>
        </is>
      </c>
      <c r="E380" t="inlineStr">
        <is>
          <t>A1</t>
        </is>
      </c>
      <c r="F380" t="n">
        <v>34</v>
      </c>
      <c r="G380" s="4" t="n">
        <v>1</v>
      </c>
      <c r="H380" s="5" t="n"/>
      <c r="I380" s="4" t="n">
        <v>34</v>
      </c>
      <c r="J380" s="6">
        <f>H380*F380</f>
        <v/>
      </c>
      <c r="K380" s="6">
        <f>J380-I380</f>
        <v/>
      </c>
      <c r="L380" s="7">
        <f>IF(I380=0,"",K380/I380)</f>
        <v/>
      </c>
      <c r="M380" s="6">
        <f>IF(ABS(L380)&lt;0.02," 合理",IF(ABS(L380)&lt;0.05," 关注"," 复查"))</f>
        <v/>
      </c>
    </row>
    <row r="381">
      <c r="A381" t="n">
        <v>380</v>
      </c>
      <c r="B381" t="inlineStr">
        <is>
          <t>主卫-洗脸盆水龙头</t>
        </is>
      </c>
      <c r="C381" t="inlineStr">
        <is>
          <t>甲供</t>
        </is>
      </c>
      <c r="D381" t="inlineStr">
        <is>
          <t>个</t>
        </is>
      </c>
      <c r="E381" t="inlineStr">
        <is>
          <t>B1</t>
        </is>
      </c>
      <c r="F381" t="n">
        <v>68</v>
      </c>
      <c r="G381" s="4" t="n">
        <v>2</v>
      </c>
      <c r="H381" s="5" t="n"/>
      <c r="I381" s="4" t="n">
        <v>136</v>
      </c>
      <c r="J381" s="6">
        <f>H381*F381</f>
        <v/>
      </c>
      <c r="K381" s="6">
        <f>J381-I381</f>
        <v/>
      </c>
      <c r="L381" s="7">
        <f>IF(I381=0,"",K381/I381)</f>
        <v/>
      </c>
      <c r="M381" s="6">
        <f>IF(ABS(L381)&lt;0.02," 合理",IF(ABS(L381)&lt;0.05," 关注"," 复查"))</f>
        <v/>
      </c>
    </row>
    <row r="382">
      <c r="A382" t="n">
        <v>381</v>
      </c>
      <c r="B382" t="inlineStr">
        <is>
          <t>主卫-洗脸盆水龙头</t>
        </is>
      </c>
      <c r="C382" t="inlineStr">
        <is>
          <t>甲供</t>
        </is>
      </c>
      <c r="D382" t="inlineStr">
        <is>
          <t>个</t>
        </is>
      </c>
      <c r="E382" t="inlineStr">
        <is>
          <t>B2</t>
        </is>
      </c>
      <c r="F382" t="n">
        <v>17</v>
      </c>
      <c r="G382" s="4" t="n">
        <v>2</v>
      </c>
      <c r="H382" s="5" t="n"/>
      <c r="I382" s="4" t="n">
        <v>34</v>
      </c>
      <c r="J382" s="6">
        <f>H382*F382</f>
        <v/>
      </c>
      <c r="K382" s="6">
        <f>J382-I382</f>
        <v/>
      </c>
      <c r="L382" s="7">
        <f>IF(I382=0,"",K382/I382)</f>
        <v/>
      </c>
      <c r="M382" s="6">
        <f>IF(ABS(L382)&lt;0.02," 合理",IF(ABS(L382)&lt;0.05," 关注"," 复查"))</f>
        <v/>
      </c>
    </row>
    <row r="383">
      <c r="A383" t="n">
        <v>382</v>
      </c>
      <c r="B383" t="inlineStr">
        <is>
          <t>主卫-洗脸盆水龙头</t>
        </is>
      </c>
      <c r="C383" t="inlineStr">
        <is>
          <t>甲供</t>
        </is>
      </c>
      <c r="D383" t="inlineStr">
        <is>
          <t>个</t>
        </is>
      </c>
      <c r="E383" t="inlineStr">
        <is>
          <t>C</t>
        </is>
      </c>
      <c r="F383" t="n">
        <v>17</v>
      </c>
      <c r="G383" s="4" t="n">
        <v>2</v>
      </c>
      <c r="H383" s="5" t="n"/>
      <c r="I383" s="4" t="n">
        <v>34</v>
      </c>
      <c r="J383" s="6">
        <f>H383*F383</f>
        <v/>
      </c>
      <c r="K383" s="6">
        <f>J383-I383</f>
        <v/>
      </c>
      <c r="L383" s="7">
        <f>IF(I383=0,"",K383/I383)</f>
        <v/>
      </c>
      <c r="M383" s="6">
        <f>IF(ABS(L383)&lt;0.02," 合理",IF(ABS(L383)&lt;0.05," 关注"," 复查"))</f>
        <v/>
      </c>
    </row>
    <row r="384">
      <c r="A384" t="n">
        <v>383</v>
      </c>
      <c r="B384" t="inlineStr">
        <is>
          <t>主卫-洗脸盆水龙头</t>
        </is>
      </c>
      <c r="C384" t="inlineStr">
        <is>
          <t>甲供</t>
        </is>
      </c>
      <c r="D384" t="inlineStr">
        <is>
          <t>个</t>
        </is>
      </c>
      <c r="E384" t="inlineStr">
        <is>
          <t>D1</t>
        </is>
      </c>
      <c r="F384" t="n">
        <v>34</v>
      </c>
      <c r="G384" s="4" t="n">
        <v>2</v>
      </c>
      <c r="H384" s="5" t="n"/>
      <c r="I384" s="4" t="n">
        <v>68</v>
      </c>
      <c r="J384" s="6">
        <f>H384*F384</f>
        <v/>
      </c>
      <c r="K384" s="6">
        <f>J384-I384</f>
        <v/>
      </c>
      <c r="L384" s="7">
        <f>IF(I384=0,"",K384/I384)</f>
        <v/>
      </c>
      <c r="M384" s="6">
        <f>IF(ABS(L384)&lt;0.02," 合理",IF(ABS(L384)&lt;0.05," 关注"," 复查"))</f>
        <v/>
      </c>
    </row>
    <row r="385">
      <c r="A385" t="n">
        <v>384</v>
      </c>
      <c r="B385" t="inlineStr">
        <is>
          <t>主卫-洗脸盆水龙头</t>
        </is>
      </c>
      <c r="C385" t="inlineStr">
        <is>
          <t>甲供</t>
        </is>
      </c>
      <c r="D385" t="inlineStr">
        <is>
          <t>个</t>
        </is>
      </c>
      <c r="E385" t="inlineStr">
        <is>
          <t>D2</t>
        </is>
      </c>
      <c r="F385" t="n">
        <v>15</v>
      </c>
      <c r="G385" s="4" t="n">
        <v>2</v>
      </c>
      <c r="H385" s="5" t="n"/>
      <c r="I385" s="4" t="n">
        <v>30</v>
      </c>
      <c r="J385" s="6">
        <f>H385*F385</f>
        <v/>
      </c>
      <c r="K385" s="6">
        <f>J385-I385</f>
        <v/>
      </c>
      <c r="L385" s="7">
        <f>IF(I385=0,"",K385/I385)</f>
        <v/>
      </c>
      <c r="M385" s="6">
        <f>IF(ABS(L385)&lt;0.02," 合理",IF(ABS(L385)&lt;0.05," 关注"," 复查"))</f>
        <v/>
      </c>
    </row>
    <row r="386">
      <c r="A386" t="n">
        <v>385</v>
      </c>
      <c r="B386" t="inlineStr">
        <is>
          <t>主卫-洗脸盆水龙头</t>
        </is>
      </c>
      <c r="C386" t="inlineStr">
        <is>
          <t>甲供</t>
        </is>
      </c>
      <c r="D386" t="inlineStr">
        <is>
          <t>个</t>
        </is>
      </c>
      <c r="E386" t="inlineStr">
        <is>
          <t>D3</t>
        </is>
      </c>
      <c r="F386" t="n">
        <v>2</v>
      </c>
      <c r="G386" s="4" t="n">
        <v>2</v>
      </c>
      <c r="H386" s="5" t="n"/>
      <c r="I386" s="4" t="n">
        <v>4</v>
      </c>
      <c r="J386" s="6">
        <f>H386*F386</f>
        <v/>
      </c>
      <c r="K386" s="6">
        <f>J386-I386</f>
        <v/>
      </c>
      <c r="L386" s="7">
        <f>IF(I386=0,"",K386/I386)</f>
        <v/>
      </c>
      <c r="M386" s="6">
        <f>IF(ABS(L386)&lt;0.02," 合理",IF(ABS(L386)&lt;0.05," 关注"," 复查"))</f>
        <v/>
      </c>
    </row>
    <row r="387">
      <c r="A387" t="n">
        <v>386</v>
      </c>
      <c r="B387" t="inlineStr">
        <is>
          <t>主卫-洗脸盆水龙头</t>
        </is>
      </c>
      <c r="C387" t="inlineStr">
        <is>
          <t>甲供</t>
        </is>
      </c>
      <c r="D387" t="inlineStr">
        <is>
          <t>个</t>
        </is>
      </c>
      <c r="E387" t="inlineStr">
        <is>
          <t>D4</t>
        </is>
      </c>
      <c r="F387" t="n">
        <v>2</v>
      </c>
      <c r="G387" s="4" t="n">
        <v>2</v>
      </c>
      <c r="H387" s="5" t="n"/>
      <c r="I387" s="4" t="n">
        <v>4</v>
      </c>
      <c r="J387" s="6">
        <f>H387*F387</f>
        <v/>
      </c>
      <c r="K387" s="6">
        <f>J387-I387</f>
        <v/>
      </c>
      <c r="L387" s="7">
        <f>IF(I387=0,"",K387/I387)</f>
        <v/>
      </c>
      <c r="M387" s="6">
        <f>IF(ABS(L387)&lt;0.02," 合理",IF(ABS(L387)&lt;0.05," 关注"," 复查"))</f>
        <v/>
      </c>
    </row>
    <row r="388">
      <c r="A388" t="n">
        <v>387</v>
      </c>
      <c r="B388" t="inlineStr">
        <is>
          <t>主卫-洗脸盆水龙头</t>
        </is>
      </c>
      <c r="C388" t="inlineStr">
        <is>
          <t>甲供</t>
        </is>
      </c>
      <c r="D388" t="inlineStr">
        <is>
          <t>个</t>
        </is>
      </c>
      <c r="E388" t="inlineStr">
        <is>
          <t>E</t>
        </is>
      </c>
      <c r="F388" t="n">
        <v>28</v>
      </c>
      <c r="G388" s="4" t="n">
        <v>2</v>
      </c>
      <c r="H388" s="5" t="n"/>
      <c r="I388" s="4" t="n">
        <v>56</v>
      </c>
      <c r="J388" s="6">
        <f>H388*F388</f>
        <v/>
      </c>
      <c r="K388" s="6">
        <f>J388-I388</f>
        <v/>
      </c>
      <c r="L388" s="7">
        <f>IF(I388=0,"",K388/I388)</f>
        <v/>
      </c>
      <c r="M388" s="6">
        <f>IF(ABS(L388)&lt;0.02," 合理",IF(ABS(L388)&lt;0.05," 关注"," 复查"))</f>
        <v/>
      </c>
    </row>
    <row r="389">
      <c r="A389" t="n">
        <v>388</v>
      </c>
      <c r="B389" t="inlineStr">
        <is>
          <t>次卫-洗脸盆水龙头</t>
        </is>
      </c>
      <c r="C389" t="inlineStr">
        <is>
          <t>甲供</t>
        </is>
      </c>
      <c r="D389" t="inlineStr">
        <is>
          <t>个</t>
        </is>
      </c>
      <c r="E389" t="inlineStr">
        <is>
          <t>A1</t>
        </is>
      </c>
      <c r="F389" t="n">
        <v>34</v>
      </c>
      <c r="G389" s="4" t="n">
        <v>1</v>
      </c>
      <c r="H389" s="5" t="n"/>
      <c r="I389" s="4" t="n">
        <v>34</v>
      </c>
      <c r="J389" s="6">
        <f>H389*F389</f>
        <v/>
      </c>
      <c r="K389" s="6">
        <f>J389-I389</f>
        <v/>
      </c>
      <c r="L389" s="7">
        <f>IF(I389=0,"",K389/I389)</f>
        <v/>
      </c>
      <c r="M389" s="6">
        <f>IF(ABS(L389)&lt;0.02," 合理",IF(ABS(L389)&lt;0.05," 关注"," 复查"))</f>
        <v/>
      </c>
    </row>
    <row r="390">
      <c r="A390" t="n">
        <v>389</v>
      </c>
      <c r="B390" t="inlineStr">
        <is>
          <t>次卫-洗脸盆水龙头</t>
        </is>
      </c>
      <c r="C390" t="inlineStr">
        <is>
          <t>甲供</t>
        </is>
      </c>
      <c r="D390" t="inlineStr">
        <is>
          <t>个</t>
        </is>
      </c>
      <c r="E390" t="inlineStr">
        <is>
          <t>B1</t>
        </is>
      </c>
      <c r="F390" t="n">
        <v>68</v>
      </c>
      <c r="G390" s="4" t="n">
        <v>2</v>
      </c>
      <c r="H390" s="5" t="n"/>
      <c r="I390" s="4" t="n">
        <v>136</v>
      </c>
      <c r="J390" s="6">
        <f>H390*F390</f>
        <v/>
      </c>
      <c r="K390" s="6">
        <f>J390-I390</f>
        <v/>
      </c>
      <c r="L390" s="7">
        <f>IF(I390=0,"",K390/I390)</f>
        <v/>
      </c>
      <c r="M390" s="6">
        <f>IF(ABS(L390)&lt;0.02," 合理",IF(ABS(L390)&lt;0.05," 关注"," 复查"))</f>
        <v/>
      </c>
    </row>
    <row r="391">
      <c r="A391" t="n">
        <v>390</v>
      </c>
      <c r="B391" t="inlineStr">
        <is>
          <t>次卫-洗脸盆水龙头</t>
        </is>
      </c>
      <c r="C391" t="inlineStr">
        <is>
          <t>甲供</t>
        </is>
      </c>
      <c r="D391" t="inlineStr">
        <is>
          <t>个</t>
        </is>
      </c>
      <c r="E391" t="inlineStr">
        <is>
          <t>B2</t>
        </is>
      </c>
      <c r="F391" t="n">
        <v>17</v>
      </c>
      <c r="G391" s="4" t="n">
        <v>2</v>
      </c>
      <c r="H391" s="5" t="n"/>
      <c r="I391" s="4" t="n">
        <v>34</v>
      </c>
      <c r="J391" s="6">
        <f>H391*F391</f>
        <v/>
      </c>
      <c r="K391" s="6">
        <f>J391-I391</f>
        <v/>
      </c>
      <c r="L391" s="7">
        <f>IF(I391=0,"",K391/I391)</f>
        <v/>
      </c>
      <c r="M391" s="6">
        <f>IF(ABS(L391)&lt;0.02," 合理",IF(ABS(L391)&lt;0.05," 关注"," 复查"))</f>
        <v/>
      </c>
    </row>
    <row r="392">
      <c r="A392" t="n">
        <v>391</v>
      </c>
      <c r="B392" t="inlineStr">
        <is>
          <t>次卫-洗脸盆水龙头</t>
        </is>
      </c>
      <c r="C392" t="inlineStr">
        <is>
          <t>甲供</t>
        </is>
      </c>
      <c r="D392" t="inlineStr">
        <is>
          <t>个</t>
        </is>
      </c>
      <c r="E392" t="inlineStr">
        <is>
          <t>C</t>
        </is>
      </c>
      <c r="F392" t="n">
        <v>17</v>
      </c>
      <c r="G392" s="4" t="n">
        <v>2</v>
      </c>
      <c r="H392" s="5" t="n"/>
      <c r="I392" s="4" t="n">
        <v>34</v>
      </c>
      <c r="J392" s="6">
        <f>H392*F392</f>
        <v/>
      </c>
      <c r="K392" s="6">
        <f>J392-I392</f>
        <v/>
      </c>
      <c r="L392" s="7">
        <f>IF(I392=0,"",K392/I392)</f>
        <v/>
      </c>
      <c r="M392" s="6">
        <f>IF(ABS(L392)&lt;0.02," 合理",IF(ABS(L392)&lt;0.05," 关注"," 复查"))</f>
        <v/>
      </c>
    </row>
    <row r="393">
      <c r="A393" t="n">
        <v>392</v>
      </c>
      <c r="B393" t="inlineStr">
        <is>
          <t>次卫-洗脸盆水龙头</t>
        </is>
      </c>
      <c r="C393" t="inlineStr">
        <is>
          <t>甲供</t>
        </is>
      </c>
      <c r="D393" t="inlineStr">
        <is>
          <t>个</t>
        </is>
      </c>
      <c r="E393" t="inlineStr">
        <is>
          <t>D1</t>
        </is>
      </c>
      <c r="F393" t="n">
        <v>34</v>
      </c>
      <c r="G393" s="4" t="n">
        <v>2</v>
      </c>
      <c r="H393" s="5" t="n"/>
      <c r="I393" s="4" t="n">
        <v>68</v>
      </c>
      <c r="J393" s="6">
        <f>H393*F393</f>
        <v/>
      </c>
      <c r="K393" s="6">
        <f>J393-I393</f>
        <v/>
      </c>
      <c r="L393" s="7">
        <f>IF(I393=0,"",K393/I393)</f>
        <v/>
      </c>
      <c r="M393" s="6">
        <f>IF(ABS(L393)&lt;0.02," 合理",IF(ABS(L393)&lt;0.05," 关注"," 复查"))</f>
        <v/>
      </c>
    </row>
    <row r="394">
      <c r="A394" t="n">
        <v>393</v>
      </c>
      <c r="B394" t="inlineStr">
        <is>
          <t>次卫-洗脸盆水龙头</t>
        </is>
      </c>
      <c r="C394" t="inlineStr">
        <is>
          <t>甲供</t>
        </is>
      </c>
      <c r="D394" t="inlineStr">
        <is>
          <t>个</t>
        </is>
      </c>
      <c r="E394" t="inlineStr">
        <is>
          <t>D2</t>
        </is>
      </c>
      <c r="F394" t="n">
        <v>15</v>
      </c>
      <c r="G394" s="4" t="n">
        <v>2</v>
      </c>
      <c r="H394" s="5" t="n"/>
      <c r="I394" s="4" t="n">
        <v>30</v>
      </c>
      <c r="J394" s="6">
        <f>H394*F394</f>
        <v/>
      </c>
      <c r="K394" s="6">
        <f>J394-I394</f>
        <v/>
      </c>
      <c r="L394" s="7">
        <f>IF(I394=0,"",K394/I394)</f>
        <v/>
      </c>
      <c r="M394" s="6">
        <f>IF(ABS(L394)&lt;0.02," 合理",IF(ABS(L394)&lt;0.05," 关注"," 复查"))</f>
        <v/>
      </c>
    </row>
    <row r="395">
      <c r="A395" t="n">
        <v>394</v>
      </c>
      <c r="B395" t="inlineStr">
        <is>
          <t>次卫-洗脸盆水龙头</t>
        </is>
      </c>
      <c r="C395" t="inlineStr">
        <is>
          <t>甲供</t>
        </is>
      </c>
      <c r="D395" t="inlineStr">
        <is>
          <t>个</t>
        </is>
      </c>
      <c r="E395" t="inlineStr">
        <is>
          <t>D3</t>
        </is>
      </c>
      <c r="F395" t="n">
        <v>2</v>
      </c>
      <c r="G395" s="4" t="n">
        <v>2</v>
      </c>
      <c r="H395" s="5" t="n"/>
      <c r="I395" s="4" t="n">
        <v>4</v>
      </c>
      <c r="J395" s="6">
        <f>H395*F395</f>
        <v/>
      </c>
      <c r="K395" s="6">
        <f>J395-I395</f>
        <v/>
      </c>
      <c r="L395" s="7">
        <f>IF(I395=0,"",K395/I395)</f>
        <v/>
      </c>
      <c r="M395" s="6">
        <f>IF(ABS(L395)&lt;0.02," 合理",IF(ABS(L395)&lt;0.05," 关注"," 复查"))</f>
        <v/>
      </c>
    </row>
    <row r="396">
      <c r="A396" t="n">
        <v>395</v>
      </c>
      <c r="B396" t="inlineStr">
        <is>
          <t>次卫-洗脸盆水龙头</t>
        </is>
      </c>
      <c r="C396" t="inlineStr">
        <is>
          <t>甲供</t>
        </is>
      </c>
      <c r="D396" t="inlineStr">
        <is>
          <t>个</t>
        </is>
      </c>
      <c r="E396" t="inlineStr">
        <is>
          <t>D4</t>
        </is>
      </c>
      <c r="F396" t="n">
        <v>2</v>
      </c>
      <c r="G396" s="4" t="n">
        <v>2</v>
      </c>
      <c r="H396" s="5" t="n"/>
      <c r="I396" s="4" t="n">
        <v>4</v>
      </c>
      <c r="J396" s="6">
        <f>H396*F396</f>
        <v/>
      </c>
      <c r="K396" s="6">
        <f>J396-I396</f>
        <v/>
      </c>
      <c r="L396" s="7">
        <f>IF(I396=0,"",K396/I396)</f>
        <v/>
      </c>
      <c r="M396" s="6">
        <f>IF(ABS(L396)&lt;0.02," 合理",IF(ABS(L396)&lt;0.05," 关注"," 复查"))</f>
        <v/>
      </c>
    </row>
    <row r="397">
      <c r="A397" t="n">
        <v>396</v>
      </c>
      <c r="B397" t="inlineStr">
        <is>
          <t>次卫-洗脸盆水龙头</t>
        </is>
      </c>
      <c r="C397" t="inlineStr">
        <is>
          <t>甲供</t>
        </is>
      </c>
      <c r="D397" t="inlineStr">
        <is>
          <t>个</t>
        </is>
      </c>
      <c r="E397" t="inlineStr">
        <is>
          <t>E</t>
        </is>
      </c>
      <c r="F397" t="n">
        <v>28</v>
      </c>
      <c r="G397" s="4" t="n">
        <v>2</v>
      </c>
      <c r="H397" s="5" t="n"/>
      <c r="I397" s="4" t="n">
        <v>56</v>
      </c>
      <c r="J397" s="6">
        <f>H397*F397</f>
        <v/>
      </c>
      <c r="K397" s="6">
        <f>J397-I397</f>
        <v/>
      </c>
      <c r="L397" s="7">
        <f>IF(I397=0,"",K397/I397)</f>
        <v/>
      </c>
      <c r="M397" s="6">
        <f>IF(ABS(L397)&lt;0.02," 合理",IF(ABS(L397)&lt;0.05," 关注"," 复查"))</f>
        <v/>
      </c>
    </row>
    <row r="398">
      <c r="A398" t="n">
        <v>397</v>
      </c>
      <c r="B398" t="inlineStr">
        <is>
          <t>洗菜盆水龙头</t>
        </is>
      </c>
      <c r="C398" t="inlineStr">
        <is>
          <t>甲供</t>
        </is>
      </c>
      <c r="D398" t="inlineStr">
        <is>
          <t>个</t>
        </is>
      </c>
      <c r="E398" t="inlineStr">
        <is>
          <t>A1</t>
        </is>
      </c>
      <c r="F398" t="n">
        <v>34</v>
      </c>
      <c r="G398" s="4" t="n">
        <v>1</v>
      </c>
      <c r="H398" s="5" t="n"/>
      <c r="I398" s="4" t="n">
        <v>34</v>
      </c>
      <c r="J398" s="6">
        <f>H398*F398</f>
        <v/>
      </c>
      <c r="K398" s="6">
        <f>J398-I398</f>
        <v/>
      </c>
      <c r="L398" s="7">
        <f>IF(I398=0,"",K398/I398)</f>
        <v/>
      </c>
      <c r="M398" s="6">
        <f>IF(ABS(L398)&lt;0.02," 合理",IF(ABS(L398)&lt;0.05," 关注"," 复查"))</f>
        <v/>
      </c>
    </row>
    <row r="399">
      <c r="A399" t="n">
        <v>398</v>
      </c>
      <c r="B399" t="inlineStr">
        <is>
          <t>洗菜盆水龙头</t>
        </is>
      </c>
      <c r="C399" t="inlineStr">
        <is>
          <t>甲供</t>
        </is>
      </c>
      <c r="D399" t="inlineStr">
        <is>
          <t>个</t>
        </is>
      </c>
      <c r="E399" t="inlineStr">
        <is>
          <t>B1</t>
        </is>
      </c>
      <c r="F399" t="n">
        <v>68</v>
      </c>
      <c r="G399" s="4" t="n">
        <v>1</v>
      </c>
      <c r="H399" s="5" t="n"/>
      <c r="I399" s="4" t="n">
        <v>68</v>
      </c>
      <c r="J399" s="6">
        <f>H399*F399</f>
        <v/>
      </c>
      <c r="K399" s="6">
        <f>J399-I399</f>
        <v/>
      </c>
      <c r="L399" s="7">
        <f>IF(I399=0,"",K399/I399)</f>
        <v/>
      </c>
      <c r="M399" s="6">
        <f>IF(ABS(L399)&lt;0.02," 合理",IF(ABS(L399)&lt;0.05," 关注"," 复查"))</f>
        <v/>
      </c>
    </row>
    <row r="400">
      <c r="A400" t="n">
        <v>399</v>
      </c>
      <c r="B400" t="inlineStr">
        <is>
          <t>洗菜盆水龙头</t>
        </is>
      </c>
      <c r="C400" t="inlineStr">
        <is>
          <t>甲供</t>
        </is>
      </c>
      <c r="D400" t="inlineStr">
        <is>
          <t>个</t>
        </is>
      </c>
      <c r="E400" t="inlineStr">
        <is>
          <t>B2</t>
        </is>
      </c>
      <c r="F400" t="n">
        <v>17</v>
      </c>
      <c r="G400" s="4" t="n">
        <v>1</v>
      </c>
      <c r="H400" s="5" t="n"/>
      <c r="I400" s="4" t="n">
        <v>17</v>
      </c>
      <c r="J400" s="6">
        <f>H400*F400</f>
        <v/>
      </c>
      <c r="K400" s="6">
        <f>J400-I400</f>
        <v/>
      </c>
      <c r="L400" s="7">
        <f>IF(I400=0,"",K400/I400)</f>
        <v/>
      </c>
      <c r="M400" s="6">
        <f>IF(ABS(L400)&lt;0.02," 合理",IF(ABS(L400)&lt;0.05," 关注"," 复查"))</f>
        <v/>
      </c>
    </row>
    <row r="401">
      <c r="A401" t="n">
        <v>400</v>
      </c>
      <c r="B401" t="inlineStr">
        <is>
          <t>洗菜盆水龙头</t>
        </is>
      </c>
      <c r="C401" t="inlineStr">
        <is>
          <t>甲供</t>
        </is>
      </c>
      <c r="D401" t="inlineStr">
        <is>
          <t>个</t>
        </is>
      </c>
      <c r="E401" t="inlineStr">
        <is>
          <t>C</t>
        </is>
      </c>
      <c r="F401" t="n">
        <v>17</v>
      </c>
      <c r="G401" s="4" t="n">
        <v>1</v>
      </c>
      <c r="H401" s="5" t="n"/>
      <c r="I401" s="4" t="n">
        <v>17</v>
      </c>
      <c r="J401" s="6">
        <f>H401*F401</f>
        <v/>
      </c>
      <c r="K401" s="6">
        <f>J401-I401</f>
        <v/>
      </c>
      <c r="L401" s="7">
        <f>IF(I401=0,"",K401/I401)</f>
        <v/>
      </c>
      <c r="M401" s="6">
        <f>IF(ABS(L401)&lt;0.02," 合理",IF(ABS(L401)&lt;0.05," 关注"," 复查"))</f>
        <v/>
      </c>
    </row>
    <row r="402">
      <c r="A402" t="n">
        <v>401</v>
      </c>
      <c r="B402" t="inlineStr">
        <is>
          <t>洗菜盆水龙头</t>
        </is>
      </c>
      <c r="C402" t="inlineStr">
        <is>
          <t>甲供</t>
        </is>
      </c>
      <c r="D402" t="inlineStr">
        <is>
          <t>个</t>
        </is>
      </c>
      <c r="E402" t="inlineStr">
        <is>
          <t>D1</t>
        </is>
      </c>
      <c r="F402" t="n">
        <v>34</v>
      </c>
      <c r="G402" s="4" t="n">
        <v>1</v>
      </c>
      <c r="H402" s="5" t="n"/>
      <c r="I402" s="4" t="n">
        <v>34</v>
      </c>
      <c r="J402" s="6">
        <f>H402*F402</f>
        <v/>
      </c>
      <c r="K402" s="6">
        <f>J402-I402</f>
        <v/>
      </c>
      <c r="L402" s="7">
        <f>IF(I402=0,"",K402/I402)</f>
        <v/>
      </c>
      <c r="M402" s="6">
        <f>IF(ABS(L402)&lt;0.02," 合理",IF(ABS(L402)&lt;0.05," 关注"," 复查"))</f>
        <v/>
      </c>
    </row>
    <row r="403">
      <c r="A403" t="n">
        <v>402</v>
      </c>
      <c r="B403" t="inlineStr">
        <is>
          <t>洗菜盆水龙头</t>
        </is>
      </c>
      <c r="C403" t="inlineStr">
        <is>
          <t>甲供</t>
        </is>
      </c>
      <c r="D403" t="inlineStr">
        <is>
          <t>个</t>
        </is>
      </c>
      <c r="E403" t="inlineStr">
        <is>
          <t>D2</t>
        </is>
      </c>
      <c r="F403" t="n">
        <v>15</v>
      </c>
      <c r="G403" s="4" t="n">
        <v>1</v>
      </c>
      <c r="H403" s="5" t="n"/>
      <c r="I403" s="4" t="n">
        <v>15</v>
      </c>
      <c r="J403" s="6">
        <f>H403*F403</f>
        <v/>
      </c>
      <c r="K403" s="6">
        <f>J403-I403</f>
        <v/>
      </c>
      <c r="L403" s="7">
        <f>IF(I403=0,"",K403/I403)</f>
        <v/>
      </c>
      <c r="M403" s="6">
        <f>IF(ABS(L403)&lt;0.02," 合理",IF(ABS(L403)&lt;0.05," 关注"," 复查"))</f>
        <v/>
      </c>
    </row>
    <row r="404">
      <c r="A404" t="n">
        <v>403</v>
      </c>
      <c r="B404" t="inlineStr">
        <is>
          <t>洗菜盆水龙头</t>
        </is>
      </c>
      <c r="C404" t="inlineStr">
        <is>
          <t>甲供</t>
        </is>
      </c>
      <c r="D404" t="inlineStr">
        <is>
          <t>个</t>
        </is>
      </c>
      <c r="E404" t="inlineStr">
        <is>
          <t>D3</t>
        </is>
      </c>
      <c r="F404" t="n">
        <v>2</v>
      </c>
      <c r="G404" s="4" t="n">
        <v>1</v>
      </c>
      <c r="H404" s="5" t="n"/>
      <c r="I404" s="4" t="n">
        <v>2</v>
      </c>
      <c r="J404" s="6">
        <f>H404*F404</f>
        <v/>
      </c>
      <c r="K404" s="6">
        <f>J404-I404</f>
        <v/>
      </c>
      <c r="L404" s="7">
        <f>IF(I404=0,"",K404/I404)</f>
        <v/>
      </c>
      <c r="M404" s="6">
        <f>IF(ABS(L404)&lt;0.02," 合理",IF(ABS(L404)&lt;0.05," 关注"," 复查"))</f>
        <v/>
      </c>
    </row>
    <row r="405">
      <c r="A405" t="n">
        <v>404</v>
      </c>
      <c r="B405" t="inlineStr">
        <is>
          <t>洗菜盆水龙头</t>
        </is>
      </c>
      <c r="C405" t="inlineStr">
        <is>
          <t>甲供</t>
        </is>
      </c>
      <c r="D405" t="inlineStr">
        <is>
          <t>个</t>
        </is>
      </c>
      <c r="E405" t="inlineStr">
        <is>
          <t>D4</t>
        </is>
      </c>
      <c r="F405" t="n">
        <v>2</v>
      </c>
      <c r="G405" s="4" t="n">
        <v>1</v>
      </c>
      <c r="H405" s="5" t="n"/>
      <c r="I405" s="4" t="n">
        <v>2</v>
      </c>
      <c r="J405" s="6">
        <f>H405*F405</f>
        <v/>
      </c>
      <c r="K405" s="6">
        <f>J405-I405</f>
        <v/>
      </c>
      <c r="L405" s="7">
        <f>IF(I405=0,"",K405/I405)</f>
        <v/>
      </c>
      <c r="M405" s="6">
        <f>IF(ABS(L405)&lt;0.02," 合理",IF(ABS(L405)&lt;0.05," 关注"," 复查"))</f>
        <v/>
      </c>
    </row>
    <row r="406">
      <c r="A406" t="n">
        <v>405</v>
      </c>
      <c r="B406" t="inlineStr">
        <is>
          <t>洗菜盆水龙头</t>
        </is>
      </c>
      <c r="C406" t="inlineStr">
        <is>
          <t>甲供</t>
        </is>
      </c>
      <c r="D406" t="inlineStr">
        <is>
          <t>个</t>
        </is>
      </c>
      <c r="E406" t="inlineStr">
        <is>
          <t>E</t>
        </is>
      </c>
      <c r="F406" t="n">
        <v>28</v>
      </c>
      <c r="G406" s="4" t="n">
        <v>1</v>
      </c>
      <c r="H406" s="5" t="n"/>
      <c r="I406" s="4" t="n">
        <v>28</v>
      </c>
      <c r="J406" s="6">
        <f>H406*F406</f>
        <v/>
      </c>
      <c r="K406" s="6">
        <f>J406-I406</f>
        <v/>
      </c>
      <c r="L406" s="7">
        <f>IF(I406=0,"",K406/I406)</f>
        <v/>
      </c>
      <c r="M406" s="6">
        <f>IF(ABS(L406)&lt;0.02," 合理",IF(ABS(L406)&lt;0.05," 关注"," 复查"))</f>
        <v/>
      </c>
    </row>
    <row r="407">
      <c r="A407" t="n">
        <v>406</v>
      </c>
      <c r="B407" t="inlineStr">
        <is>
          <t>嵌入式浴缸</t>
        </is>
      </c>
      <c r="C407" t="inlineStr">
        <is>
          <t>甲供</t>
        </is>
      </c>
      <c r="D407" t="inlineStr">
        <is>
          <t>个</t>
        </is>
      </c>
      <c r="E407" t="inlineStr">
        <is>
          <t>E</t>
        </is>
      </c>
      <c r="F407" t="n">
        <v>28</v>
      </c>
      <c r="G407" s="4" t="n">
        <v>1</v>
      </c>
      <c r="H407" s="5" t="n"/>
      <c r="I407" s="4" t="n">
        <v>28</v>
      </c>
      <c r="J407" s="6">
        <f>H407*F407</f>
        <v/>
      </c>
      <c r="K407" s="6">
        <f>J407-I407</f>
        <v/>
      </c>
      <c r="L407" s="7">
        <f>IF(I407=0,"",K407/I407)</f>
        <v/>
      </c>
      <c r="M407" s="6">
        <f>IF(ABS(L407)&lt;0.02," 合理",IF(ABS(L407)&lt;0.05," 关注"," 复查"))</f>
        <v/>
      </c>
    </row>
    <row r="408">
      <c r="A408" t="n">
        <v>407</v>
      </c>
      <c r="B408" t="inlineStr">
        <is>
          <t>洗衣机专用水龙头</t>
        </is>
      </c>
      <c r="C408" t="inlineStr">
        <is>
          <t>甲供</t>
        </is>
      </c>
      <c r="D408" t="inlineStr">
        <is>
          <t>个</t>
        </is>
      </c>
      <c r="E408" t="inlineStr">
        <is>
          <t>A1</t>
        </is>
      </c>
      <c r="F408" t="n">
        <v>34</v>
      </c>
      <c r="G408" s="4" t="n">
        <v>2</v>
      </c>
      <c r="H408" s="5" t="n"/>
      <c r="I408" s="4" t="n">
        <v>68</v>
      </c>
      <c r="J408" s="6">
        <f>H408*F408</f>
        <v/>
      </c>
      <c r="K408" s="6">
        <f>J408-I408</f>
        <v/>
      </c>
      <c r="L408" s="7">
        <f>IF(I408=0,"",K408/I408)</f>
        <v/>
      </c>
      <c r="M408" s="6">
        <f>IF(ABS(L408)&lt;0.02," 合理",IF(ABS(L408)&lt;0.05," 关注"," 复查"))</f>
        <v/>
      </c>
    </row>
    <row r="409">
      <c r="A409" t="n">
        <v>408</v>
      </c>
      <c r="B409" t="inlineStr">
        <is>
          <t>洗衣机专用水龙头</t>
        </is>
      </c>
      <c r="C409" t="inlineStr">
        <is>
          <t>甲供</t>
        </is>
      </c>
      <c r="D409" t="inlineStr">
        <is>
          <t>个</t>
        </is>
      </c>
      <c r="E409" t="inlineStr">
        <is>
          <t>B1</t>
        </is>
      </c>
      <c r="F409" t="n">
        <v>68</v>
      </c>
      <c r="G409" s="4" t="n">
        <v>1</v>
      </c>
      <c r="H409" s="5" t="n"/>
      <c r="I409" s="4" t="n">
        <v>68</v>
      </c>
      <c r="J409" s="6">
        <f>H409*F409</f>
        <v/>
      </c>
      <c r="K409" s="6">
        <f>J409-I409</f>
        <v/>
      </c>
      <c r="L409" s="7">
        <f>IF(I409=0,"",K409/I409)</f>
        <v/>
      </c>
      <c r="M409" s="6">
        <f>IF(ABS(L409)&lt;0.02," 合理",IF(ABS(L409)&lt;0.05," 关注"," 复查"))</f>
        <v/>
      </c>
    </row>
    <row r="410">
      <c r="A410" t="n">
        <v>409</v>
      </c>
      <c r="B410" t="inlineStr">
        <is>
          <t>洗衣机专用水龙头</t>
        </is>
      </c>
      <c r="C410" t="inlineStr">
        <is>
          <t>甲供</t>
        </is>
      </c>
      <c r="D410" t="inlineStr">
        <is>
          <t>个</t>
        </is>
      </c>
      <c r="E410" t="inlineStr">
        <is>
          <t>B2</t>
        </is>
      </c>
      <c r="F410" t="n">
        <v>17</v>
      </c>
      <c r="G410" s="4" t="n">
        <v>1</v>
      </c>
      <c r="H410" s="5" t="n"/>
      <c r="I410" s="4" t="n">
        <v>17</v>
      </c>
      <c r="J410" s="6">
        <f>H410*F410</f>
        <v/>
      </c>
      <c r="K410" s="6">
        <f>J410-I410</f>
        <v/>
      </c>
      <c r="L410" s="7">
        <f>IF(I410=0,"",K410/I410)</f>
        <v/>
      </c>
      <c r="M410" s="6">
        <f>IF(ABS(L410)&lt;0.02," 合理",IF(ABS(L410)&lt;0.05," 关注"," 复查"))</f>
        <v/>
      </c>
    </row>
    <row r="411">
      <c r="A411" t="n">
        <v>410</v>
      </c>
      <c r="B411" t="inlineStr">
        <is>
          <t>洗衣机专用水龙头</t>
        </is>
      </c>
      <c r="C411" t="inlineStr">
        <is>
          <t>甲供</t>
        </is>
      </c>
      <c r="D411" t="inlineStr">
        <is>
          <t>个</t>
        </is>
      </c>
      <c r="E411" t="inlineStr">
        <is>
          <t>C</t>
        </is>
      </c>
      <c r="F411" t="n">
        <v>17</v>
      </c>
      <c r="G411" s="4" t="n">
        <v>1</v>
      </c>
      <c r="H411" s="5" t="n"/>
      <c r="I411" s="4" t="n">
        <v>17</v>
      </c>
      <c r="J411" s="6">
        <f>H411*F411</f>
        <v/>
      </c>
      <c r="K411" s="6">
        <f>J411-I411</f>
        <v/>
      </c>
      <c r="L411" s="7">
        <f>IF(I411=0,"",K411/I411)</f>
        <v/>
      </c>
      <c r="M411" s="6">
        <f>IF(ABS(L411)&lt;0.02," 合理",IF(ABS(L411)&lt;0.05," 关注"," 复查"))</f>
        <v/>
      </c>
    </row>
    <row r="412">
      <c r="A412" t="n">
        <v>411</v>
      </c>
      <c r="B412" t="inlineStr">
        <is>
          <t>洗衣机专用水龙头</t>
        </is>
      </c>
      <c r="C412" t="inlineStr">
        <is>
          <t>甲供</t>
        </is>
      </c>
      <c r="D412" t="inlineStr">
        <is>
          <t>个</t>
        </is>
      </c>
      <c r="E412" t="inlineStr">
        <is>
          <t>D1</t>
        </is>
      </c>
      <c r="F412" t="n">
        <v>34</v>
      </c>
      <c r="G412" s="4" t="n">
        <v>1</v>
      </c>
      <c r="H412" s="5" t="n"/>
      <c r="I412" s="4" t="n">
        <v>34</v>
      </c>
      <c r="J412" s="6">
        <f>H412*F412</f>
        <v/>
      </c>
      <c r="K412" s="6">
        <f>J412-I412</f>
        <v/>
      </c>
      <c r="L412" s="7">
        <f>IF(I412=0,"",K412/I412)</f>
        <v/>
      </c>
      <c r="M412" s="6">
        <f>IF(ABS(L412)&lt;0.02," 合理",IF(ABS(L412)&lt;0.05," 关注"," 复查"))</f>
        <v/>
      </c>
    </row>
    <row r="413">
      <c r="A413" t="n">
        <v>412</v>
      </c>
      <c r="B413" t="inlineStr">
        <is>
          <t>洗衣机专用水龙头</t>
        </is>
      </c>
      <c r="C413" t="inlineStr">
        <is>
          <t>甲供</t>
        </is>
      </c>
      <c r="D413" t="inlineStr">
        <is>
          <t>个</t>
        </is>
      </c>
      <c r="E413" t="inlineStr">
        <is>
          <t>D2</t>
        </is>
      </c>
      <c r="F413" t="n">
        <v>15</v>
      </c>
      <c r="G413" s="4" t="n">
        <v>1</v>
      </c>
      <c r="H413" s="5" t="n"/>
      <c r="I413" s="4" t="n">
        <v>15</v>
      </c>
      <c r="J413" s="6">
        <f>H413*F413</f>
        <v/>
      </c>
      <c r="K413" s="6">
        <f>J413-I413</f>
        <v/>
      </c>
      <c r="L413" s="7">
        <f>IF(I413=0,"",K413/I413)</f>
        <v/>
      </c>
      <c r="M413" s="6">
        <f>IF(ABS(L413)&lt;0.02," 合理",IF(ABS(L413)&lt;0.05," 关注"," 复查"))</f>
        <v/>
      </c>
    </row>
    <row r="414">
      <c r="A414" t="n">
        <v>413</v>
      </c>
      <c r="B414" t="inlineStr">
        <is>
          <t>洗衣机专用水龙头</t>
        </is>
      </c>
      <c r="C414" t="inlineStr">
        <is>
          <t>甲供</t>
        </is>
      </c>
      <c r="D414" t="inlineStr">
        <is>
          <t>个</t>
        </is>
      </c>
      <c r="E414" t="inlineStr">
        <is>
          <t>D3</t>
        </is>
      </c>
      <c r="F414" t="n">
        <v>2</v>
      </c>
      <c r="G414" s="4" t="n">
        <v>1</v>
      </c>
      <c r="H414" s="5" t="n"/>
      <c r="I414" s="4" t="n">
        <v>2</v>
      </c>
      <c r="J414" s="6">
        <f>H414*F414</f>
        <v/>
      </c>
      <c r="K414" s="6">
        <f>J414-I414</f>
        <v/>
      </c>
      <c r="L414" s="7">
        <f>IF(I414=0,"",K414/I414)</f>
        <v/>
      </c>
      <c r="M414" s="6">
        <f>IF(ABS(L414)&lt;0.02," 合理",IF(ABS(L414)&lt;0.05," 关注"," 复查"))</f>
        <v/>
      </c>
    </row>
    <row r="415">
      <c r="A415" t="n">
        <v>414</v>
      </c>
      <c r="B415" t="inlineStr">
        <is>
          <t>洗衣机专用水龙头</t>
        </is>
      </c>
      <c r="C415" t="inlineStr">
        <is>
          <t>甲供</t>
        </is>
      </c>
      <c r="D415" t="inlineStr">
        <is>
          <t>个</t>
        </is>
      </c>
      <c r="E415" t="inlineStr">
        <is>
          <t>D4</t>
        </is>
      </c>
      <c r="F415" t="n">
        <v>2</v>
      </c>
      <c r="G415" s="4" t="n">
        <v>1</v>
      </c>
      <c r="H415" s="5" t="n"/>
      <c r="I415" s="4" t="n">
        <v>2</v>
      </c>
      <c r="J415" s="6">
        <f>H415*F415</f>
        <v/>
      </c>
      <c r="K415" s="6">
        <f>J415-I415</f>
        <v/>
      </c>
      <c r="L415" s="7">
        <f>IF(I415=0,"",K415/I415)</f>
        <v/>
      </c>
      <c r="M415" s="6">
        <f>IF(ABS(L415)&lt;0.02," 合理",IF(ABS(L415)&lt;0.05," 关注"," 复查"))</f>
        <v/>
      </c>
    </row>
    <row r="416">
      <c r="A416" t="n">
        <v>415</v>
      </c>
      <c r="B416" t="inlineStr">
        <is>
          <t>洗衣机专用水龙头</t>
        </is>
      </c>
      <c r="C416" t="inlineStr">
        <is>
          <t>甲供</t>
        </is>
      </c>
      <c r="D416" t="inlineStr">
        <is>
          <t>个</t>
        </is>
      </c>
      <c r="E416" t="inlineStr">
        <is>
          <t>E</t>
        </is>
      </c>
      <c r="F416" t="n">
        <v>28</v>
      </c>
      <c r="G416" s="4" t="n">
        <v>1</v>
      </c>
      <c r="H416" s="5" t="n"/>
      <c r="I416" s="4" t="n">
        <v>28</v>
      </c>
      <c r="J416" s="6">
        <f>H416*F416</f>
        <v/>
      </c>
      <c r="K416" s="6">
        <f>J416-I416</f>
        <v/>
      </c>
      <c r="L416" s="7">
        <f>IF(I416=0,"",K416/I416)</f>
        <v/>
      </c>
      <c r="M416" s="6">
        <f>IF(ABS(L416)&lt;0.02," 合理",IF(ABS(L416)&lt;0.05," 关注"," 复查"))</f>
        <v/>
      </c>
    </row>
    <row r="417">
      <c r="A417" t="n">
        <v>416</v>
      </c>
      <c r="B417" t="inlineStr">
        <is>
          <t>洗衣机地漏DN75</t>
        </is>
      </c>
      <c r="C417" t="inlineStr">
        <is>
          <t>甲供</t>
        </is>
      </c>
      <c r="D417" t="inlineStr">
        <is>
          <t>个</t>
        </is>
      </c>
      <c r="E417" t="inlineStr">
        <is>
          <t>A1</t>
        </is>
      </c>
      <c r="F417" t="n">
        <v>34</v>
      </c>
      <c r="G417" s="4" t="n">
        <v>2</v>
      </c>
      <c r="H417" s="5" t="n"/>
      <c r="I417" s="4" t="n">
        <v>68</v>
      </c>
      <c r="J417" s="6">
        <f>H417*F417</f>
        <v/>
      </c>
      <c r="K417" s="6">
        <f>J417-I417</f>
        <v/>
      </c>
      <c r="L417" s="7">
        <f>IF(I417=0,"",K417/I417)</f>
        <v/>
      </c>
      <c r="M417" s="6">
        <f>IF(ABS(L417)&lt;0.02," 合理",IF(ABS(L417)&lt;0.05," 关注"," 复查"))</f>
        <v/>
      </c>
    </row>
    <row r="418">
      <c r="A418" t="n">
        <v>417</v>
      </c>
      <c r="B418" t="inlineStr">
        <is>
          <t>洗衣机地漏DN75</t>
        </is>
      </c>
      <c r="C418" t="inlineStr">
        <is>
          <t>甲供</t>
        </is>
      </c>
      <c r="D418" t="inlineStr">
        <is>
          <t>个</t>
        </is>
      </c>
      <c r="E418" t="inlineStr">
        <is>
          <t>B1</t>
        </is>
      </c>
      <c r="F418" t="n">
        <v>68</v>
      </c>
      <c r="G418" s="4" t="n">
        <v>1</v>
      </c>
      <c r="H418" s="5" t="n"/>
      <c r="I418" s="4" t="n">
        <v>68</v>
      </c>
      <c r="J418" s="6">
        <f>H418*F418</f>
        <v/>
      </c>
      <c r="K418" s="6">
        <f>J418-I418</f>
        <v/>
      </c>
      <c r="L418" s="7">
        <f>IF(I418=0,"",K418/I418)</f>
        <v/>
      </c>
      <c r="M418" s="6">
        <f>IF(ABS(L418)&lt;0.02," 合理",IF(ABS(L418)&lt;0.05," 关注"," 复查"))</f>
        <v/>
      </c>
    </row>
    <row r="419">
      <c r="A419" t="n">
        <v>418</v>
      </c>
      <c r="B419" t="inlineStr">
        <is>
          <t>洗衣机地漏DN75</t>
        </is>
      </c>
      <c r="C419" t="inlineStr">
        <is>
          <t>甲供</t>
        </is>
      </c>
      <c r="D419" t="inlineStr">
        <is>
          <t>个</t>
        </is>
      </c>
      <c r="E419" t="inlineStr">
        <is>
          <t>B2</t>
        </is>
      </c>
      <c r="F419" t="n">
        <v>17</v>
      </c>
      <c r="G419" s="4" t="n">
        <v>1</v>
      </c>
      <c r="H419" s="5" t="n"/>
      <c r="I419" s="4" t="n">
        <v>17</v>
      </c>
      <c r="J419" s="6">
        <f>H419*F419</f>
        <v/>
      </c>
      <c r="K419" s="6">
        <f>J419-I419</f>
        <v/>
      </c>
      <c r="L419" s="7">
        <f>IF(I419=0,"",K419/I419)</f>
        <v/>
      </c>
      <c r="M419" s="6">
        <f>IF(ABS(L419)&lt;0.02," 合理",IF(ABS(L419)&lt;0.05," 关注"," 复查"))</f>
        <v/>
      </c>
    </row>
    <row r="420">
      <c r="A420" t="n">
        <v>419</v>
      </c>
      <c r="B420" t="inlineStr">
        <is>
          <t>洗衣机地漏DN75</t>
        </is>
      </c>
      <c r="C420" t="inlineStr">
        <is>
          <t>甲供</t>
        </is>
      </c>
      <c r="D420" t="inlineStr">
        <is>
          <t>个</t>
        </is>
      </c>
      <c r="E420" t="inlineStr">
        <is>
          <t>C</t>
        </is>
      </c>
      <c r="F420" t="n">
        <v>17</v>
      </c>
      <c r="G420" s="4" t="n">
        <v>1</v>
      </c>
      <c r="H420" s="5" t="n"/>
      <c r="I420" s="4" t="n">
        <v>17</v>
      </c>
      <c r="J420" s="6">
        <f>H420*F420</f>
        <v/>
      </c>
      <c r="K420" s="6">
        <f>J420-I420</f>
        <v/>
      </c>
      <c r="L420" s="7">
        <f>IF(I420=0,"",K420/I420)</f>
        <v/>
      </c>
      <c r="M420" s="6">
        <f>IF(ABS(L420)&lt;0.02," 合理",IF(ABS(L420)&lt;0.05," 关注"," 复查"))</f>
        <v/>
      </c>
    </row>
    <row r="421">
      <c r="A421" t="n">
        <v>420</v>
      </c>
      <c r="B421" t="inlineStr">
        <is>
          <t>洗衣机地漏DN75</t>
        </is>
      </c>
      <c r="C421" t="inlineStr">
        <is>
          <t>甲供</t>
        </is>
      </c>
      <c r="D421" t="inlineStr">
        <is>
          <t>个</t>
        </is>
      </c>
      <c r="E421" t="inlineStr">
        <is>
          <t>D1</t>
        </is>
      </c>
      <c r="F421" t="n">
        <v>34</v>
      </c>
      <c r="G421" s="4" t="n">
        <v>1</v>
      </c>
      <c r="H421" s="5" t="n"/>
      <c r="I421" s="4" t="n">
        <v>34</v>
      </c>
      <c r="J421" s="6">
        <f>H421*F421</f>
        <v/>
      </c>
      <c r="K421" s="6">
        <f>J421-I421</f>
        <v/>
      </c>
      <c r="L421" s="7">
        <f>IF(I421=0,"",K421/I421)</f>
        <v/>
      </c>
      <c r="M421" s="6">
        <f>IF(ABS(L421)&lt;0.02," 合理",IF(ABS(L421)&lt;0.05," 关注"," 复查"))</f>
        <v/>
      </c>
    </row>
    <row r="422">
      <c r="A422" t="n">
        <v>421</v>
      </c>
      <c r="B422" t="inlineStr">
        <is>
          <t>洗衣机地漏DN75</t>
        </is>
      </c>
      <c r="C422" t="inlineStr">
        <is>
          <t>甲供</t>
        </is>
      </c>
      <c r="D422" t="inlineStr">
        <is>
          <t>个</t>
        </is>
      </c>
      <c r="E422" t="inlineStr">
        <is>
          <t>D2</t>
        </is>
      </c>
      <c r="F422" t="n">
        <v>15</v>
      </c>
      <c r="G422" s="4" t="n">
        <v>1</v>
      </c>
      <c r="H422" s="5" t="n"/>
      <c r="I422" s="4" t="n">
        <v>15</v>
      </c>
      <c r="J422" s="6">
        <f>H422*F422</f>
        <v/>
      </c>
      <c r="K422" s="6">
        <f>J422-I422</f>
        <v/>
      </c>
      <c r="L422" s="7">
        <f>IF(I422=0,"",K422/I422)</f>
        <v/>
      </c>
      <c r="M422" s="6">
        <f>IF(ABS(L422)&lt;0.02," 合理",IF(ABS(L422)&lt;0.05," 关注"," 复查"))</f>
        <v/>
      </c>
    </row>
    <row r="423">
      <c r="A423" t="n">
        <v>422</v>
      </c>
      <c r="B423" t="inlineStr">
        <is>
          <t>洗衣机地漏DN75</t>
        </is>
      </c>
      <c r="C423" t="inlineStr">
        <is>
          <t>甲供</t>
        </is>
      </c>
      <c r="D423" t="inlineStr">
        <is>
          <t>个</t>
        </is>
      </c>
      <c r="E423" t="inlineStr">
        <is>
          <t>D3</t>
        </is>
      </c>
      <c r="F423" t="n">
        <v>2</v>
      </c>
      <c r="G423" s="4" t="n">
        <v>1</v>
      </c>
      <c r="H423" s="5" t="n"/>
      <c r="I423" s="4" t="n">
        <v>2</v>
      </c>
      <c r="J423" s="6">
        <f>H423*F423</f>
        <v/>
      </c>
      <c r="K423" s="6">
        <f>J423-I423</f>
        <v/>
      </c>
      <c r="L423" s="7">
        <f>IF(I423=0,"",K423/I423)</f>
        <v/>
      </c>
      <c r="M423" s="6">
        <f>IF(ABS(L423)&lt;0.02," 合理",IF(ABS(L423)&lt;0.05," 关注"," 复查"))</f>
        <v/>
      </c>
    </row>
    <row r="424">
      <c r="A424" t="n">
        <v>423</v>
      </c>
      <c r="B424" t="inlineStr">
        <is>
          <t>洗衣机地漏DN75</t>
        </is>
      </c>
      <c r="C424" t="inlineStr">
        <is>
          <t>甲供</t>
        </is>
      </c>
      <c r="D424" t="inlineStr">
        <is>
          <t>个</t>
        </is>
      </c>
      <c r="E424" t="inlineStr">
        <is>
          <t>D4</t>
        </is>
      </c>
      <c r="F424" t="n">
        <v>2</v>
      </c>
      <c r="G424" s="4" t="n">
        <v>1</v>
      </c>
      <c r="H424" s="5" t="n"/>
      <c r="I424" s="4" t="n">
        <v>2</v>
      </c>
      <c r="J424" s="6">
        <f>H424*F424</f>
        <v/>
      </c>
      <c r="K424" s="6">
        <f>J424-I424</f>
        <v/>
      </c>
      <c r="L424" s="7">
        <f>IF(I424=0,"",K424/I424)</f>
        <v/>
      </c>
      <c r="M424" s="6">
        <f>IF(ABS(L424)&lt;0.02," 合理",IF(ABS(L424)&lt;0.05," 关注"," 复查"))</f>
        <v/>
      </c>
    </row>
    <row r="425">
      <c r="A425" t="n">
        <v>424</v>
      </c>
      <c r="B425" t="inlineStr">
        <is>
          <t>洗衣机地漏DN75</t>
        </is>
      </c>
      <c r="C425" t="inlineStr">
        <is>
          <t>甲供</t>
        </is>
      </c>
      <c r="D425" t="inlineStr">
        <is>
          <t>个</t>
        </is>
      </c>
      <c r="E425" t="inlineStr">
        <is>
          <t>E</t>
        </is>
      </c>
      <c r="F425" t="n">
        <v>28</v>
      </c>
      <c r="G425" s="4" t="n">
        <v>1</v>
      </c>
      <c r="H425" s="5" t="n"/>
      <c r="I425" s="4" t="n">
        <v>28</v>
      </c>
      <c r="J425" s="6">
        <f>H425*F425</f>
        <v/>
      </c>
      <c r="K425" s="6">
        <f>J425-I425</f>
        <v/>
      </c>
      <c r="L425" s="7">
        <f>IF(I425=0,"",K425/I425)</f>
        <v/>
      </c>
      <c r="M425" s="6">
        <f>IF(ABS(L425)&lt;0.02," 合理",IF(ABS(L425)&lt;0.05," 关注"," 复查"))</f>
        <v/>
      </c>
    </row>
    <row r="426">
      <c r="A426" t="n">
        <v>425</v>
      </c>
      <c r="B426" t="inlineStr">
        <is>
          <t>卫生间地漏DN50</t>
        </is>
      </c>
      <c r="C426" t="inlineStr">
        <is>
          <t>甲供</t>
        </is>
      </c>
      <c r="D426" t="inlineStr">
        <is>
          <t>个</t>
        </is>
      </c>
      <c r="E426" t="inlineStr">
        <is>
          <t>A1</t>
        </is>
      </c>
      <c r="F426" t="n">
        <v>34</v>
      </c>
      <c r="G426" s="4" t="n">
        <v>5</v>
      </c>
      <c r="H426" s="5" t="n"/>
      <c r="I426" s="4" t="n">
        <v>170</v>
      </c>
      <c r="J426" s="6">
        <f>H426*F426</f>
        <v/>
      </c>
      <c r="K426" s="6">
        <f>J426-I426</f>
        <v/>
      </c>
      <c r="L426" s="7">
        <f>IF(I426=0,"",K426/I426)</f>
        <v/>
      </c>
      <c r="M426" s="6">
        <f>IF(ABS(L426)&lt;0.02," 合理",IF(ABS(L426)&lt;0.05," 关注"," 复查"))</f>
        <v/>
      </c>
    </row>
    <row r="427">
      <c r="A427" t="n">
        <v>426</v>
      </c>
      <c r="B427" t="inlineStr">
        <is>
          <t>卫生间地漏DN50</t>
        </is>
      </c>
      <c r="C427" t="inlineStr">
        <is>
          <t>甲供</t>
        </is>
      </c>
      <c r="D427" t="inlineStr">
        <is>
          <t>个</t>
        </is>
      </c>
      <c r="E427" t="inlineStr">
        <is>
          <t>B1</t>
        </is>
      </c>
      <c r="F427" t="n">
        <v>68</v>
      </c>
      <c r="G427" s="4" t="n">
        <v>8</v>
      </c>
      <c r="H427" s="5" t="n"/>
      <c r="I427" s="4" t="n">
        <v>544</v>
      </c>
      <c r="J427" s="6">
        <f>H427*F427</f>
        <v/>
      </c>
      <c r="K427" s="6">
        <f>J427-I427</f>
        <v/>
      </c>
      <c r="L427" s="7">
        <f>IF(I427=0,"",K427/I427)</f>
        <v/>
      </c>
      <c r="M427" s="6">
        <f>IF(ABS(L427)&lt;0.02," 合理",IF(ABS(L427)&lt;0.05," 关注"," 复查"))</f>
        <v/>
      </c>
    </row>
    <row r="428">
      <c r="A428" t="n">
        <v>427</v>
      </c>
      <c r="B428" t="inlineStr">
        <is>
          <t>卫生间地漏DN50</t>
        </is>
      </c>
      <c r="C428" t="inlineStr">
        <is>
          <t>甲供</t>
        </is>
      </c>
      <c r="D428" t="inlineStr">
        <is>
          <t>个</t>
        </is>
      </c>
      <c r="E428" t="inlineStr">
        <is>
          <t>B2</t>
        </is>
      </c>
      <c r="F428" t="n">
        <v>17</v>
      </c>
      <c r="G428" s="4" t="n">
        <v>8</v>
      </c>
      <c r="H428" s="5" t="n"/>
      <c r="I428" s="4" t="n">
        <v>136</v>
      </c>
      <c r="J428" s="6">
        <f>H428*F428</f>
        <v/>
      </c>
      <c r="K428" s="6">
        <f>J428-I428</f>
        <v/>
      </c>
      <c r="L428" s="7">
        <f>IF(I428=0,"",K428/I428)</f>
        <v/>
      </c>
      <c r="M428" s="6">
        <f>IF(ABS(L428)&lt;0.02," 合理",IF(ABS(L428)&lt;0.05," 关注"," 复查"))</f>
        <v/>
      </c>
    </row>
    <row r="429">
      <c r="A429" t="n">
        <v>428</v>
      </c>
      <c r="B429" t="inlineStr">
        <is>
          <t>卫生间地漏DN50</t>
        </is>
      </c>
      <c r="C429" t="inlineStr">
        <is>
          <t>甲供</t>
        </is>
      </c>
      <c r="D429" t="inlineStr">
        <is>
          <t>个</t>
        </is>
      </c>
      <c r="E429" t="inlineStr">
        <is>
          <t>C</t>
        </is>
      </c>
      <c r="F429" t="n">
        <v>17</v>
      </c>
      <c r="G429" s="4" t="n">
        <v>8</v>
      </c>
      <c r="H429" s="5" t="n"/>
      <c r="I429" s="4" t="n">
        <v>136</v>
      </c>
      <c r="J429" s="6">
        <f>H429*F429</f>
        <v/>
      </c>
      <c r="K429" s="6">
        <f>J429-I429</f>
        <v/>
      </c>
      <c r="L429" s="7">
        <f>IF(I429=0,"",K429/I429)</f>
        <v/>
      </c>
      <c r="M429" s="6">
        <f>IF(ABS(L429)&lt;0.02," 合理",IF(ABS(L429)&lt;0.05," 关注"," 复查"))</f>
        <v/>
      </c>
    </row>
    <row r="430">
      <c r="A430" t="n">
        <v>429</v>
      </c>
      <c r="B430" t="inlineStr">
        <is>
          <t>卫生间地漏DN50</t>
        </is>
      </c>
      <c r="C430" t="inlineStr">
        <is>
          <t>甲供</t>
        </is>
      </c>
      <c r="D430" t="inlineStr">
        <is>
          <t>个</t>
        </is>
      </c>
      <c r="E430" t="inlineStr">
        <is>
          <t>D1</t>
        </is>
      </c>
      <c r="F430" t="n">
        <v>34</v>
      </c>
      <c r="G430" s="4" t="n">
        <v>8</v>
      </c>
      <c r="H430" s="5" t="n"/>
      <c r="I430" s="4" t="n">
        <v>272</v>
      </c>
      <c r="J430" s="6">
        <f>H430*F430</f>
        <v/>
      </c>
      <c r="K430" s="6">
        <f>J430-I430</f>
        <v/>
      </c>
      <c r="L430" s="7">
        <f>IF(I430=0,"",K430/I430)</f>
        <v/>
      </c>
      <c r="M430" s="6">
        <f>IF(ABS(L430)&lt;0.02," 合理",IF(ABS(L430)&lt;0.05," 关注"," 复查"))</f>
        <v/>
      </c>
    </row>
    <row r="431">
      <c r="A431" t="n">
        <v>430</v>
      </c>
      <c r="B431" t="inlineStr">
        <is>
          <t>卫生间地漏DN50</t>
        </is>
      </c>
      <c r="C431" t="inlineStr">
        <is>
          <t>甲供</t>
        </is>
      </c>
      <c r="D431" t="inlineStr">
        <is>
          <t>个</t>
        </is>
      </c>
      <c r="E431" t="inlineStr">
        <is>
          <t>D2</t>
        </is>
      </c>
      <c r="F431" t="n">
        <v>15</v>
      </c>
      <c r="G431" s="4" t="n">
        <v>8</v>
      </c>
      <c r="H431" s="5" t="n"/>
      <c r="I431" s="4" t="n">
        <v>120</v>
      </c>
      <c r="J431" s="6">
        <f>H431*F431</f>
        <v/>
      </c>
      <c r="K431" s="6">
        <f>J431-I431</f>
        <v/>
      </c>
      <c r="L431" s="7">
        <f>IF(I431=0,"",K431/I431)</f>
        <v/>
      </c>
      <c r="M431" s="6">
        <f>IF(ABS(L431)&lt;0.02," 合理",IF(ABS(L431)&lt;0.05," 关注"," 复查"))</f>
        <v/>
      </c>
    </row>
    <row r="432">
      <c r="A432" t="n">
        <v>431</v>
      </c>
      <c r="B432" t="inlineStr">
        <is>
          <t>卫生间地漏DN50</t>
        </is>
      </c>
      <c r="C432" t="inlineStr">
        <is>
          <t>甲供</t>
        </is>
      </c>
      <c r="D432" t="inlineStr">
        <is>
          <t>个</t>
        </is>
      </c>
      <c r="E432" t="inlineStr">
        <is>
          <t>D3</t>
        </is>
      </c>
      <c r="F432" t="n">
        <v>2</v>
      </c>
      <c r="G432" s="4" t="n">
        <v>8</v>
      </c>
      <c r="H432" s="5" t="n"/>
      <c r="I432" s="4" t="n">
        <v>16</v>
      </c>
      <c r="J432" s="6">
        <f>H432*F432</f>
        <v/>
      </c>
      <c r="K432" s="6">
        <f>J432-I432</f>
        <v/>
      </c>
      <c r="L432" s="7">
        <f>IF(I432=0,"",K432/I432)</f>
        <v/>
      </c>
      <c r="M432" s="6">
        <f>IF(ABS(L432)&lt;0.02," 合理",IF(ABS(L432)&lt;0.05," 关注"," 复查"))</f>
        <v/>
      </c>
    </row>
    <row r="433">
      <c r="A433" t="n">
        <v>432</v>
      </c>
      <c r="B433" t="inlineStr">
        <is>
          <t>卫生间地漏DN50</t>
        </is>
      </c>
      <c r="C433" t="inlineStr">
        <is>
          <t>甲供</t>
        </is>
      </c>
      <c r="D433" t="inlineStr">
        <is>
          <t>个</t>
        </is>
      </c>
      <c r="E433" t="inlineStr">
        <is>
          <t>D4</t>
        </is>
      </c>
      <c r="F433" t="n">
        <v>2</v>
      </c>
      <c r="G433" s="4" t="n">
        <v>8</v>
      </c>
      <c r="H433" s="5" t="n"/>
      <c r="I433" s="4" t="n">
        <v>16</v>
      </c>
      <c r="J433" s="6">
        <f>H433*F433</f>
        <v/>
      </c>
      <c r="K433" s="6">
        <f>J433-I433</f>
        <v/>
      </c>
      <c r="L433" s="7">
        <f>IF(I433=0,"",K433/I433)</f>
        <v/>
      </c>
      <c r="M433" s="6">
        <f>IF(ABS(L433)&lt;0.02," 合理",IF(ABS(L433)&lt;0.05," 关注"," 复查"))</f>
        <v/>
      </c>
    </row>
    <row r="434">
      <c r="A434" t="n">
        <v>433</v>
      </c>
      <c r="B434" t="inlineStr">
        <is>
          <t>卫生间地漏DN50</t>
        </is>
      </c>
      <c r="C434" t="inlineStr">
        <is>
          <t>甲供</t>
        </is>
      </c>
      <c r="D434" t="inlineStr">
        <is>
          <t>个</t>
        </is>
      </c>
      <c r="E434" t="inlineStr">
        <is>
          <t>E</t>
        </is>
      </c>
      <c r="F434" t="n">
        <v>28</v>
      </c>
      <c r="G434" s="4" t="n">
        <v>8</v>
      </c>
      <c r="H434" s="5" t="n"/>
      <c r="I434" s="4" t="n">
        <v>224</v>
      </c>
      <c r="J434" s="6">
        <f>H434*F434</f>
        <v/>
      </c>
      <c r="K434" s="6">
        <f>J434-I434</f>
        <v/>
      </c>
      <c r="L434" s="7">
        <f>IF(I434=0,"",K434/I434)</f>
        <v/>
      </c>
      <c r="M434" s="6">
        <f>IF(ABS(L434)&lt;0.02," 合理",IF(ABS(L434)&lt;0.05," 关注"," 复查"))</f>
        <v/>
      </c>
    </row>
    <row r="435">
      <c r="A435" t="n">
        <v>434</v>
      </c>
      <c r="B435" t="inlineStr">
        <is>
          <t>阳台地漏DN75</t>
        </is>
      </c>
      <c r="C435" t="inlineStr">
        <is>
          <t>甲供</t>
        </is>
      </c>
      <c r="D435" t="inlineStr">
        <is>
          <t>个</t>
        </is>
      </c>
      <c r="E435" t="inlineStr">
        <is>
          <t>A1</t>
        </is>
      </c>
      <c r="F435" t="n">
        <v>34</v>
      </c>
      <c r="G435" s="4" t="n">
        <v>2</v>
      </c>
      <c r="H435" s="5" t="n"/>
      <c r="I435" s="4" t="n">
        <v>68</v>
      </c>
      <c r="J435" s="6">
        <f>H435*F435</f>
        <v/>
      </c>
      <c r="K435" s="6">
        <f>J435-I435</f>
        <v/>
      </c>
      <c r="L435" s="7">
        <f>IF(I435=0,"",K435/I435)</f>
        <v/>
      </c>
      <c r="M435" s="6">
        <f>IF(ABS(L435)&lt;0.02," 合理",IF(ABS(L435)&lt;0.05," 关注"," 复查"))</f>
        <v/>
      </c>
    </row>
    <row r="436">
      <c r="A436" t="n">
        <v>435</v>
      </c>
      <c r="B436" t="inlineStr">
        <is>
          <t>阳台地漏DN75</t>
        </is>
      </c>
      <c r="C436" t="inlineStr">
        <is>
          <t>甲供</t>
        </is>
      </c>
      <c r="D436" t="inlineStr">
        <is>
          <t>个</t>
        </is>
      </c>
      <c r="E436" t="inlineStr">
        <is>
          <t>B1</t>
        </is>
      </c>
      <c r="F436" t="n">
        <v>68</v>
      </c>
      <c r="G436" s="4" t="n">
        <v>2</v>
      </c>
      <c r="H436" s="5" t="n"/>
      <c r="I436" s="4" t="n">
        <v>136</v>
      </c>
      <c r="J436" s="6">
        <f>H436*F436</f>
        <v/>
      </c>
      <c r="K436" s="6">
        <f>J436-I436</f>
        <v/>
      </c>
      <c r="L436" s="7">
        <f>IF(I436=0,"",K436/I436)</f>
        <v/>
      </c>
      <c r="M436" s="6">
        <f>IF(ABS(L436)&lt;0.02," 合理",IF(ABS(L436)&lt;0.05," 关注"," 复查"))</f>
        <v/>
      </c>
    </row>
    <row r="437">
      <c r="A437" t="n">
        <v>436</v>
      </c>
      <c r="B437" t="inlineStr">
        <is>
          <t>阳台地漏DN75</t>
        </is>
      </c>
      <c r="C437" t="inlineStr">
        <is>
          <t>甲供</t>
        </is>
      </c>
      <c r="D437" t="inlineStr">
        <is>
          <t>个</t>
        </is>
      </c>
      <c r="E437" t="inlineStr">
        <is>
          <t>B2</t>
        </is>
      </c>
      <c r="F437" t="n">
        <v>17</v>
      </c>
      <c r="G437" s="4" t="n">
        <v>2</v>
      </c>
      <c r="H437" s="5" t="n"/>
      <c r="I437" s="4" t="n">
        <v>34</v>
      </c>
      <c r="J437" s="6">
        <f>H437*F437</f>
        <v/>
      </c>
      <c r="K437" s="6">
        <f>J437-I437</f>
        <v/>
      </c>
      <c r="L437" s="7">
        <f>IF(I437=0,"",K437/I437)</f>
        <v/>
      </c>
      <c r="M437" s="6">
        <f>IF(ABS(L437)&lt;0.02," 合理",IF(ABS(L437)&lt;0.05," 关注"," 复查"))</f>
        <v/>
      </c>
    </row>
    <row r="438">
      <c r="A438" t="n">
        <v>437</v>
      </c>
      <c r="B438" t="inlineStr">
        <is>
          <t>阳台地漏DN75</t>
        </is>
      </c>
      <c r="C438" t="inlineStr">
        <is>
          <t>甲供</t>
        </is>
      </c>
      <c r="D438" t="inlineStr">
        <is>
          <t>个</t>
        </is>
      </c>
      <c r="E438" t="inlineStr">
        <is>
          <t>C</t>
        </is>
      </c>
      <c r="F438" t="n">
        <v>17</v>
      </c>
      <c r="G438" s="4" t="n">
        <v>2</v>
      </c>
      <c r="H438" s="5" t="n"/>
      <c r="I438" s="4" t="n">
        <v>34</v>
      </c>
      <c r="J438" s="6">
        <f>H438*F438</f>
        <v/>
      </c>
      <c r="K438" s="6">
        <f>J438-I438</f>
        <v/>
      </c>
      <c r="L438" s="7">
        <f>IF(I438=0,"",K438/I438)</f>
        <v/>
      </c>
      <c r="M438" s="6">
        <f>IF(ABS(L438)&lt;0.02," 合理",IF(ABS(L438)&lt;0.05," 关注"," 复查"))</f>
        <v/>
      </c>
    </row>
    <row r="439">
      <c r="A439" t="n">
        <v>438</v>
      </c>
      <c r="B439" t="inlineStr">
        <is>
          <t>阳台地漏DN75</t>
        </is>
      </c>
      <c r="C439" t="inlineStr">
        <is>
          <t>甲供</t>
        </is>
      </c>
      <c r="D439" t="inlineStr">
        <is>
          <t>个</t>
        </is>
      </c>
      <c r="E439" t="inlineStr">
        <is>
          <t>D1</t>
        </is>
      </c>
      <c r="F439" t="n">
        <v>34</v>
      </c>
      <c r="G439" s="4" t="n">
        <v>2</v>
      </c>
      <c r="H439" s="5" t="n"/>
      <c r="I439" s="4" t="n">
        <v>68</v>
      </c>
      <c r="J439" s="6">
        <f>H439*F439</f>
        <v/>
      </c>
      <c r="K439" s="6">
        <f>J439-I439</f>
        <v/>
      </c>
      <c r="L439" s="7">
        <f>IF(I439=0,"",K439/I439)</f>
        <v/>
      </c>
      <c r="M439" s="6">
        <f>IF(ABS(L439)&lt;0.02," 合理",IF(ABS(L439)&lt;0.05," 关注"," 复查"))</f>
        <v/>
      </c>
    </row>
    <row r="440">
      <c r="A440" t="n">
        <v>439</v>
      </c>
      <c r="B440" t="inlineStr">
        <is>
          <t>阳台地漏DN75</t>
        </is>
      </c>
      <c r="C440" t="inlineStr">
        <is>
          <t>甲供</t>
        </is>
      </c>
      <c r="D440" t="inlineStr">
        <is>
          <t>个</t>
        </is>
      </c>
      <c r="E440" t="inlineStr">
        <is>
          <t>D2</t>
        </is>
      </c>
      <c r="F440" t="n">
        <v>15</v>
      </c>
      <c r="G440" s="4" t="n">
        <v>2</v>
      </c>
      <c r="H440" s="5" t="n"/>
      <c r="I440" s="4" t="n">
        <v>30</v>
      </c>
      <c r="J440" s="6">
        <f>H440*F440</f>
        <v/>
      </c>
      <c r="K440" s="6">
        <f>J440-I440</f>
        <v/>
      </c>
      <c r="L440" s="7">
        <f>IF(I440=0,"",K440/I440)</f>
        <v/>
      </c>
      <c r="M440" s="6">
        <f>IF(ABS(L440)&lt;0.02," 合理",IF(ABS(L440)&lt;0.05," 关注"," 复查"))</f>
        <v/>
      </c>
    </row>
    <row r="441">
      <c r="A441" t="n">
        <v>440</v>
      </c>
      <c r="B441" t="inlineStr">
        <is>
          <t>阳台地漏DN75</t>
        </is>
      </c>
      <c r="C441" t="inlineStr">
        <is>
          <t>甲供</t>
        </is>
      </c>
      <c r="D441" t="inlineStr">
        <is>
          <t>个</t>
        </is>
      </c>
      <c r="E441" t="inlineStr">
        <is>
          <t>D3</t>
        </is>
      </c>
      <c r="F441" t="n">
        <v>2</v>
      </c>
      <c r="G441" s="4" t="n">
        <v>2</v>
      </c>
      <c r="H441" s="5" t="n"/>
      <c r="I441" s="4" t="n">
        <v>4</v>
      </c>
      <c r="J441" s="6">
        <f>H441*F441</f>
        <v/>
      </c>
      <c r="K441" s="6">
        <f>J441-I441</f>
        <v/>
      </c>
      <c r="L441" s="7">
        <f>IF(I441=0,"",K441/I441)</f>
        <v/>
      </c>
      <c r="M441" s="6">
        <f>IF(ABS(L441)&lt;0.02," 合理",IF(ABS(L441)&lt;0.05," 关注"," 复查"))</f>
        <v/>
      </c>
    </row>
    <row r="442">
      <c r="A442" t="n">
        <v>441</v>
      </c>
      <c r="B442" t="inlineStr">
        <is>
          <t>阳台地漏DN75</t>
        </is>
      </c>
      <c r="C442" t="inlineStr">
        <is>
          <t>甲供</t>
        </is>
      </c>
      <c r="D442" t="inlineStr">
        <is>
          <t>个</t>
        </is>
      </c>
      <c r="E442" t="inlineStr">
        <is>
          <t>D4</t>
        </is>
      </c>
      <c r="F442" t="n">
        <v>2</v>
      </c>
      <c r="G442" s="4" t="n">
        <v>2</v>
      </c>
      <c r="H442" s="5" t="n"/>
      <c r="I442" s="4" t="n">
        <v>4</v>
      </c>
      <c r="J442" s="6">
        <f>H442*F442</f>
        <v/>
      </c>
      <c r="K442" s="6">
        <f>J442-I442</f>
        <v/>
      </c>
      <c r="L442" s="7">
        <f>IF(I442=0,"",K442/I442)</f>
        <v/>
      </c>
      <c r="M442" s="6">
        <f>IF(ABS(L442)&lt;0.02," 合理",IF(ABS(L442)&lt;0.05," 关注"," 复查"))</f>
        <v/>
      </c>
    </row>
    <row r="443">
      <c r="A443" t="n">
        <v>442</v>
      </c>
      <c r="B443" t="inlineStr">
        <is>
          <t>阳台地漏DN75</t>
        </is>
      </c>
      <c r="C443" t="inlineStr">
        <is>
          <t>甲供</t>
        </is>
      </c>
      <c r="D443" t="inlineStr">
        <is>
          <t>个</t>
        </is>
      </c>
      <c r="E443" t="inlineStr">
        <is>
          <t>E</t>
        </is>
      </c>
      <c r="F443" t="n">
        <v>28</v>
      </c>
      <c r="G443" s="4" t="n">
        <v>2</v>
      </c>
      <c r="H443" s="5" t="n"/>
      <c r="I443" s="4" t="n">
        <v>56</v>
      </c>
      <c r="J443" s="6">
        <f>H443*F443</f>
        <v/>
      </c>
      <c r="K443" s="6">
        <f>J443-I443</f>
        <v/>
      </c>
      <c r="L443" s="7">
        <f>IF(I443=0,"",K443/I443)</f>
        <v/>
      </c>
      <c r="M443" s="6">
        <f>IF(ABS(L443)&lt;0.02," 合理",IF(ABS(L443)&lt;0.05," 关注"," 复查"))</f>
        <v/>
      </c>
    </row>
    <row r="444">
      <c r="A444" t="n">
        <v>443</v>
      </c>
      <c r="B444" t="inlineStr">
        <is>
          <t>毛巾架(次卫)</t>
        </is>
      </c>
      <c r="C444" t="inlineStr">
        <is>
          <t>甲供</t>
        </is>
      </c>
      <c r="D444" t="inlineStr">
        <is>
          <t>套</t>
        </is>
      </c>
      <c r="E444" t="inlineStr">
        <is>
          <t>A1</t>
        </is>
      </c>
      <c r="F444" t="n">
        <v>34</v>
      </c>
      <c r="G444" s="4" t="n">
        <v>1</v>
      </c>
      <c r="H444" s="5" t="n"/>
      <c r="I444" s="4" t="n">
        <v>34</v>
      </c>
      <c r="J444" s="6">
        <f>H444*F444</f>
        <v/>
      </c>
      <c r="K444" s="6">
        <f>J444-I444</f>
        <v/>
      </c>
      <c r="L444" s="7">
        <f>IF(I444=0,"",K444/I444)</f>
        <v/>
      </c>
      <c r="M444" s="6">
        <f>IF(ABS(L444)&lt;0.02," 合理",IF(ABS(L444)&lt;0.05," 关注"," 复查"))</f>
        <v/>
      </c>
    </row>
    <row r="445">
      <c r="A445" t="n">
        <v>444</v>
      </c>
      <c r="B445" t="inlineStr">
        <is>
          <t>毛巾架(次卫)</t>
        </is>
      </c>
      <c r="C445" t="inlineStr">
        <is>
          <t>甲供</t>
        </is>
      </c>
      <c r="D445" t="inlineStr">
        <is>
          <t>套</t>
        </is>
      </c>
      <c r="E445" t="inlineStr">
        <is>
          <t>B1</t>
        </is>
      </c>
      <c r="F445" t="n">
        <v>68</v>
      </c>
      <c r="G445" s="4" t="n">
        <v>2</v>
      </c>
      <c r="H445" s="5" t="n"/>
      <c r="I445" s="4" t="n">
        <v>136</v>
      </c>
      <c r="J445" s="6">
        <f>H445*F445</f>
        <v/>
      </c>
      <c r="K445" s="6">
        <f>J445-I445</f>
        <v/>
      </c>
      <c r="L445" s="7">
        <f>IF(I445=0,"",K445/I445)</f>
        <v/>
      </c>
      <c r="M445" s="6">
        <f>IF(ABS(L445)&lt;0.02," 合理",IF(ABS(L445)&lt;0.05," 关注"," 复查"))</f>
        <v/>
      </c>
    </row>
    <row r="446">
      <c r="A446" t="n">
        <v>445</v>
      </c>
      <c r="B446" t="inlineStr">
        <is>
          <t>毛巾架(次卫)</t>
        </is>
      </c>
      <c r="C446" t="inlineStr">
        <is>
          <t>甲供</t>
        </is>
      </c>
      <c r="D446" t="inlineStr">
        <is>
          <t>套</t>
        </is>
      </c>
      <c r="E446" t="inlineStr">
        <is>
          <t>B2</t>
        </is>
      </c>
      <c r="F446" t="n">
        <v>17</v>
      </c>
      <c r="G446" s="4" t="n">
        <v>2</v>
      </c>
      <c r="H446" s="5" t="n"/>
      <c r="I446" s="4" t="n">
        <v>34</v>
      </c>
      <c r="J446" s="6">
        <f>H446*F446</f>
        <v/>
      </c>
      <c r="K446" s="6">
        <f>J446-I446</f>
        <v/>
      </c>
      <c r="L446" s="7">
        <f>IF(I446=0,"",K446/I446)</f>
        <v/>
      </c>
      <c r="M446" s="6">
        <f>IF(ABS(L446)&lt;0.02," 合理",IF(ABS(L446)&lt;0.05," 关注"," 复查"))</f>
        <v/>
      </c>
    </row>
    <row r="447">
      <c r="A447" t="n">
        <v>446</v>
      </c>
      <c r="B447" t="inlineStr">
        <is>
          <t>毛巾架(次卫)</t>
        </is>
      </c>
      <c r="C447" t="inlineStr">
        <is>
          <t>甲供</t>
        </is>
      </c>
      <c r="D447" t="inlineStr">
        <is>
          <t>套</t>
        </is>
      </c>
      <c r="E447" t="inlineStr">
        <is>
          <t>C</t>
        </is>
      </c>
      <c r="F447" t="n">
        <v>17</v>
      </c>
      <c r="G447" s="4" t="n">
        <v>2</v>
      </c>
      <c r="H447" s="5" t="n"/>
      <c r="I447" s="4" t="n">
        <v>34</v>
      </c>
      <c r="J447" s="6">
        <f>H447*F447</f>
        <v/>
      </c>
      <c r="K447" s="6">
        <f>J447-I447</f>
        <v/>
      </c>
      <c r="L447" s="7">
        <f>IF(I447=0,"",K447/I447)</f>
        <v/>
      </c>
      <c r="M447" s="6">
        <f>IF(ABS(L447)&lt;0.02," 合理",IF(ABS(L447)&lt;0.05," 关注"," 复查"))</f>
        <v/>
      </c>
    </row>
    <row r="448">
      <c r="A448" t="n">
        <v>447</v>
      </c>
      <c r="B448" t="inlineStr">
        <is>
          <t>毛巾架(次卫)</t>
        </is>
      </c>
      <c r="C448" t="inlineStr">
        <is>
          <t>甲供</t>
        </is>
      </c>
      <c r="D448" t="inlineStr">
        <is>
          <t>套</t>
        </is>
      </c>
      <c r="E448" t="inlineStr">
        <is>
          <t>D1</t>
        </is>
      </c>
      <c r="F448" t="n">
        <v>34</v>
      </c>
      <c r="G448" s="4" t="n">
        <v>2</v>
      </c>
      <c r="H448" s="5" t="n"/>
      <c r="I448" s="4" t="n">
        <v>68</v>
      </c>
      <c r="J448" s="6">
        <f>H448*F448</f>
        <v/>
      </c>
      <c r="K448" s="6">
        <f>J448-I448</f>
        <v/>
      </c>
      <c r="L448" s="7">
        <f>IF(I448=0,"",K448/I448)</f>
        <v/>
      </c>
      <c r="M448" s="6">
        <f>IF(ABS(L448)&lt;0.02," 合理",IF(ABS(L448)&lt;0.05," 关注"," 复查"))</f>
        <v/>
      </c>
    </row>
    <row r="449">
      <c r="A449" t="n">
        <v>448</v>
      </c>
      <c r="B449" t="inlineStr">
        <is>
          <t>毛巾架(次卫)</t>
        </is>
      </c>
      <c r="C449" t="inlineStr">
        <is>
          <t>甲供</t>
        </is>
      </c>
      <c r="D449" t="inlineStr">
        <is>
          <t>套</t>
        </is>
      </c>
      <c r="E449" t="inlineStr">
        <is>
          <t>D2</t>
        </is>
      </c>
      <c r="F449" t="n">
        <v>15</v>
      </c>
      <c r="G449" s="4" t="n">
        <v>2</v>
      </c>
      <c r="H449" s="5" t="n"/>
      <c r="I449" s="4" t="n">
        <v>30</v>
      </c>
      <c r="J449" s="6">
        <f>H449*F449</f>
        <v/>
      </c>
      <c r="K449" s="6">
        <f>J449-I449</f>
        <v/>
      </c>
      <c r="L449" s="7">
        <f>IF(I449=0,"",K449/I449)</f>
        <v/>
      </c>
      <c r="M449" s="6">
        <f>IF(ABS(L449)&lt;0.02," 合理",IF(ABS(L449)&lt;0.05," 关注"," 复查"))</f>
        <v/>
      </c>
    </row>
    <row r="450">
      <c r="A450" t="n">
        <v>449</v>
      </c>
      <c r="B450" t="inlineStr">
        <is>
          <t>毛巾架(次卫)</t>
        </is>
      </c>
      <c r="C450" t="inlineStr">
        <is>
          <t>甲供</t>
        </is>
      </c>
      <c r="D450" t="inlineStr">
        <is>
          <t>套</t>
        </is>
      </c>
      <c r="E450" t="inlineStr">
        <is>
          <t>D3</t>
        </is>
      </c>
      <c r="F450" t="n">
        <v>2</v>
      </c>
      <c r="G450" s="4" t="n">
        <v>2</v>
      </c>
      <c r="H450" s="5" t="n"/>
      <c r="I450" s="4" t="n">
        <v>4</v>
      </c>
      <c r="J450" s="6">
        <f>H450*F450</f>
        <v/>
      </c>
      <c r="K450" s="6">
        <f>J450-I450</f>
        <v/>
      </c>
      <c r="L450" s="7">
        <f>IF(I450=0,"",K450/I450)</f>
        <v/>
      </c>
      <c r="M450" s="6">
        <f>IF(ABS(L450)&lt;0.02," 合理",IF(ABS(L450)&lt;0.05," 关注"," 复查"))</f>
        <v/>
      </c>
    </row>
    <row r="451">
      <c r="A451" t="n">
        <v>450</v>
      </c>
      <c r="B451" t="inlineStr">
        <is>
          <t>毛巾架(次卫)</t>
        </is>
      </c>
      <c r="C451" t="inlineStr">
        <is>
          <t>甲供</t>
        </is>
      </c>
      <c r="D451" t="inlineStr">
        <is>
          <t>套</t>
        </is>
      </c>
      <c r="E451" t="inlineStr">
        <is>
          <t>D4</t>
        </is>
      </c>
      <c r="F451" t="n">
        <v>2</v>
      </c>
      <c r="G451" s="4" t="n">
        <v>2</v>
      </c>
      <c r="H451" s="5" t="n"/>
      <c r="I451" s="4" t="n">
        <v>4</v>
      </c>
      <c r="J451" s="6">
        <f>H451*F451</f>
        <v/>
      </c>
      <c r="K451" s="6">
        <f>J451-I451</f>
        <v/>
      </c>
      <c r="L451" s="7">
        <f>IF(I451=0,"",K451/I451)</f>
        <v/>
      </c>
      <c r="M451" s="6">
        <f>IF(ABS(L451)&lt;0.02," 合理",IF(ABS(L451)&lt;0.05," 关注"," 复查"))</f>
        <v/>
      </c>
    </row>
    <row r="452">
      <c r="A452" t="n">
        <v>451</v>
      </c>
      <c r="B452" t="inlineStr">
        <is>
          <t>毛巾架(次卫)</t>
        </is>
      </c>
      <c r="C452" t="inlineStr">
        <is>
          <t>甲供</t>
        </is>
      </c>
      <c r="D452" t="inlineStr">
        <is>
          <t>套</t>
        </is>
      </c>
      <c r="E452" t="inlineStr">
        <is>
          <t>E</t>
        </is>
      </c>
      <c r="F452" t="n">
        <v>28</v>
      </c>
      <c r="G452" s="4" t="n">
        <v>2</v>
      </c>
      <c r="H452" s="5" t="n"/>
      <c r="I452" s="4" t="n">
        <v>56</v>
      </c>
      <c r="J452" s="6">
        <f>H452*F452</f>
        <v/>
      </c>
      <c r="K452" s="6">
        <f>J452-I452</f>
        <v/>
      </c>
      <c r="L452" s="7">
        <f>IF(I452=0,"",K452/I452)</f>
        <v/>
      </c>
      <c r="M452" s="6">
        <f>IF(ABS(L452)&lt;0.02," 合理",IF(ABS(L452)&lt;0.05," 关注"," 复查"))</f>
        <v/>
      </c>
    </row>
    <row r="453">
      <c r="A453" t="n">
        <v>452</v>
      </c>
      <c r="B453" t="inlineStr">
        <is>
          <t>浴巾架(主卫)</t>
        </is>
      </c>
      <c r="C453" t="inlineStr">
        <is>
          <t>甲供</t>
        </is>
      </c>
      <c r="D453" t="inlineStr">
        <is>
          <t>套</t>
        </is>
      </c>
      <c r="E453" t="inlineStr">
        <is>
          <t>A1</t>
        </is>
      </c>
      <c r="F453" t="n">
        <v>34</v>
      </c>
      <c r="G453" s="4" t="n">
        <v>1</v>
      </c>
      <c r="H453" s="5" t="n"/>
      <c r="I453" s="4" t="n">
        <v>34</v>
      </c>
      <c r="J453" s="6">
        <f>H453*F453</f>
        <v/>
      </c>
      <c r="K453" s="6">
        <f>J453-I453</f>
        <v/>
      </c>
      <c r="L453" s="7">
        <f>IF(I453=0,"",K453/I453)</f>
        <v/>
      </c>
      <c r="M453" s="6">
        <f>IF(ABS(L453)&lt;0.02," 合理",IF(ABS(L453)&lt;0.05," 关注"," 复查"))</f>
        <v/>
      </c>
    </row>
    <row r="454">
      <c r="A454" t="n">
        <v>453</v>
      </c>
      <c r="B454" t="inlineStr">
        <is>
          <t>浴巾架(主卫)</t>
        </is>
      </c>
      <c r="C454" t="inlineStr">
        <is>
          <t>甲供</t>
        </is>
      </c>
      <c r="D454" t="inlineStr">
        <is>
          <t>套</t>
        </is>
      </c>
      <c r="E454" t="inlineStr">
        <is>
          <t>B1</t>
        </is>
      </c>
      <c r="F454" t="n">
        <v>68</v>
      </c>
      <c r="G454" s="4" t="n">
        <v>1</v>
      </c>
      <c r="H454" s="5" t="n"/>
      <c r="I454" s="4" t="n">
        <v>68</v>
      </c>
      <c r="J454" s="6">
        <f>H454*F454</f>
        <v/>
      </c>
      <c r="K454" s="6">
        <f>J454-I454</f>
        <v/>
      </c>
      <c r="L454" s="7">
        <f>IF(I454=0,"",K454/I454)</f>
        <v/>
      </c>
      <c r="M454" s="6">
        <f>IF(ABS(L454)&lt;0.02," 合理",IF(ABS(L454)&lt;0.05," 关注"," 复查"))</f>
        <v/>
      </c>
    </row>
    <row r="455">
      <c r="A455" t="n">
        <v>454</v>
      </c>
      <c r="B455" t="inlineStr">
        <is>
          <t>浴巾架(主卫)</t>
        </is>
      </c>
      <c r="C455" t="inlineStr">
        <is>
          <t>甲供</t>
        </is>
      </c>
      <c r="D455" t="inlineStr">
        <is>
          <t>套</t>
        </is>
      </c>
      <c r="E455" t="inlineStr">
        <is>
          <t>B2</t>
        </is>
      </c>
      <c r="F455" t="n">
        <v>17</v>
      </c>
      <c r="G455" s="4" t="n">
        <v>1</v>
      </c>
      <c r="H455" s="5" t="n"/>
      <c r="I455" s="4" t="n">
        <v>17</v>
      </c>
      <c r="J455" s="6">
        <f>H455*F455</f>
        <v/>
      </c>
      <c r="K455" s="6">
        <f>J455-I455</f>
        <v/>
      </c>
      <c r="L455" s="7">
        <f>IF(I455=0,"",K455/I455)</f>
        <v/>
      </c>
      <c r="M455" s="6">
        <f>IF(ABS(L455)&lt;0.02," 合理",IF(ABS(L455)&lt;0.05," 关注"," 复查"))</f>
        <v/>
      </c>
    </row>
    <row r="456">
      <c r="A456" t="n">
        <v>455</v>
      </c>
      <c r="B456" t="inlineStr">
        <is>
          <t>浴巾架(主卫)</t>
        </is>
      </c>
      <c r="C456" t="inlineStr">
        <is>
          <t>甲供</t>
        </is>
      </c>
      <c r="D456" t="inlineStr">
        <is>
          <t>套</t>
        </is>
      </c>
      <c r="E456" t="inlineStr">
        <is>
          <t>C</t>
        </is>
      </c>
      <c r="F456" t="n">
        <v>17</v>
      </c>
      <c r="G456" s="4" t="n">
        <v>1</v>
      </c>
      <c r="H456" s="5" t="n"/>
      <c r="I456" s="4" t="n">
        <v>17</v>
      </c>
      <c r="J456" s="6">
        <f>H456*F456</f>
        <v/>
      </c>
      <c r="K456" s="6">
        <f>J456-I456</f>
        <v/>
      </c>
      <c r="L456" s="7">
        <f>IF(I456=0,"",K456/I456)</f>
        <v/>
      </c>
      <c r="M456" s="6">
        <f>IF(ABS(L456)&lt;0.02," 合理",IF(ABS(L456)&lt;0.05," 关注"," 复查"))</f>
        <v/>
      </c>
    </row>
    <row r="457">
      <c r="A457" t="n">
        <v>456</v>
      </c>
      <c r="B457" t="inlineStr">
        <is>
          <t>浴巾架(主卫)</t>
        </is>
      </c>
      <c r="C457" t="inlineStr">
        <is>
          <t>甲供</t>
        </is>
      </c>
      <c r="D457" t="inlineStr">
        <is>
          <t>套</t>
        </is>
      </c>
      <c r="E457" t="inlineStr">
        <is>
          <t>D1</t>
        </is>
      </c>
      <c r="F457" t="n">
        <v>34</v>
      </c>
      <c r="G457" s="4" t="n">
        <v>1</v>
      </c>
      <c r="H457" s="5" t="n"/>
      <c r="I457" s="4" t="n">
        <v>34</v>
      </c>
      <c r="J457" s="6">
        <f>H457*F457</f>
        <v/>
      </c>
      <c r="K457" s="6">
        <f>J457-I457</f>
        <v/>
      </c>
      <c r="L457" s="7">
        <f>IF(I457=0,"",K457/I457)</f>
        <v/>
      </c>
      <c r="M457" s="6">
        <f>IF(ABS(L457)&lt;0.02," 合理",IF(ABS(L457)&lt;0.05," 关注"," 复查"))</f>
        <v/>
      </c>
    </row>
    <row r="458">
      <c r="A458" t="n">
        <v>457</v>
      </c>
      <c r="B458" t="inlineStr">
        <is>
          <t>浴巾架(主卫)</t>
        </is>
      </c>
      <c r="C458" t="inlineStr">
        <is>
          <t>甲供</t>
        </is>
      </c>
      <c r="D458" t="inlineStr">
        <is>
          <t>套</t>
        </is>
      </c>
      <c r="E458" t="inlineStr">
        <is>
          <t>D2</t>
        </is>
      </c>
      <c r="F458" t="n">
        <v>15</v>
      </c>
      <c r="G458" s="4" t="n">
        <v>1</v>
      </c>
      <c r="H458" s="5" t="n"/>
      <c r="I458" s="4" t="n">
        <v>15</v>
      </c>
      <c r="J458" s="6">
        <f>H458*F458</f>
        <v/>
      </c>
      <c r="K458" s="6">
        <f>J458-I458</f>
        <v/>
      </c>
      <c r="L458" s="7">
        <f>IF(I458=0,"",K458/I458)</f>
        <v/>
      </c>
      <c r="M458" s="6">
        <f>IF(ABS(L458)&lt;0.02," 合理",IF(ABS(L458)&lt;0.05," 关注"," 复查"))</f>
        <v/>
      </c>
    </row>
    <row r="459">
      <c r="A459" t="n">
        <v>458</v>
      </c>
      <c r="B459" t="inlineStr">
        <is>
          <t>浴巾架(主卫)</t>
        </is>
      </c>
      <c r="C459" t="inlineStr">
        <is>
          <t>甲供</t>
        </is>
      </c>
      <c r="D459" t="inlineStr">
        <is>
          <t>套</t>
        </is>
      </c>
      <c r="E459" t="inlineStr">
        <is>
          <t>D3</t>
        </is>
      </c>
      <c r="F459" t="n">
        <v>2</v>
      </c>
      <c r="G459" s="4" t="n">
        <v>1</v>
      </c>
      <c r="H459" s="5" t="n"/>
      <c r="I459" s="4" t="n">
        <v>2</v>
      </c>
      <c r="J459" s="6">
        <f>H459*F459</f>
        <v/>
      </c>
      <c r="K459" s="6">
        <f>J459-I459</f>
        <v/>
      </c>
      <c r="L459" s="7">
        <f>IF(I459=0,"",K459/I459)</f>
        <v/>
      </c>
      <c r="M459" s="6">
        <f>IF(ABS(L459)&lt;0.02," 合理",IF(ABS(L459)&lt;0.05," 关注"," 复查"))</f>
        <v/>
      </c>
    </row>
    <row r="460">
      <c r="A460" t="n">
        <v>459</v>
      </c>
      <c r="B460" t="inlineStr">
        <is>
          <t>浴巾架(主卫)</t>
        </is>
      </c>
      <c r="C460" t="inlineStr">
        <is>
          <t>甲供</t>
        </is>
      </c>
      <c r="D460" t="inlineStr">
        <is>
          <t>套</t>
        </is>
      </c>
      <c r="E460" t="inlineStr">
        <is>
          <t>D4</t>
        </is>
      </c>
      <c r="F460" t="n">
        <v>2</v>
      </c>
      <c r="G460" s="4" t="n">
        <v>1</v>
      </c>
      <c r="H460" s="5" t="n"/>
      <c r="I460" s="4" t="n">
        <v>2</v>
      </c>
      <c r="J460" s="6">
        <f>H460*F460</f>
        <v/>
      </c>
      <c r="K460" s="6">
        <f>J460-I460</f>
        <v/>
      </c>
      <c r="L460" s="7">
        <f>IF(I460=0,"",K460/I460)</f>
        <v/>
      </c>
      <c r="M460" s="6">
        <f>IF(ABS(L460)&lt;0.02," 合理",IF(ABS(L460)&lt;0.05," 关注"," 复查"))</f>
        <v/>
      </c>
    </row>
    <row r="461">
      <c r="A461" t="n">
        <v>460</v>
      </c>
      <c r="B461" t="inlineStr">
        <is>
          <t>浴巾架(主卫)</t>
        </is>
      </c>
      <c r="C461" t="inlineStr">
        <is>
          <t>甲供</t>
        </is>
      </c>
      <c r="D461" t="inlineStr">
        <is>
          <t>套</t>
        </is>
      </c>
      <c r="E461" t="inlineStr">
        <is>
          <t>E</t>
        </is>
      </c>
      <c r="F461" t="n">
        <v>28</v>
      </c>
      <c r="G461" s="4" t="n">
        <v>1</v>
      </c>
      <c r="H461" s="5" t="n"/>
      <c r="I461" s="4" t="n">
        <v>28</v>
      </c>
      <c r="J461" s="6">
        <f>H461*F461</f>
        <v/>
      </c>
      <c r="K461" s="6">
        <f>J461-I461</f>
        <v/>
      </c>
      <c r="L461" s="7">
        <f>IF(I461=0,"",K461/I461)</f>
        <v/>
      </c>
      <c r="M461" s="6">
        <f>IF(ABS(L461)&lt;0.02," 合理",IF(ABS(L461)&lt;0.05," 关注"," 复查"))</f>
        <v/>
      </c>
    </row>
    <row r="462">
      <c r="A462" t="n">
        <v>461</v>
      </c>
      <c r="B462" t="inlineStr">
        <is>
          <t>厕纸架</t>
        </is>
      </c>
      <c r="C462" t="inlineStr">
        <is>
          <t>甲供</t>
        </is>
      </c>
      <c r="D462" t="inlineStr">
        <is>
          <t>套</t>
        </is>
      </c>
      <c r="E462" t="inlineStr">
        <is>
          <t>A1</t>
        </is>
      </c>
      <c r="F462" t="n">
        <v>34</v>
      </c>
      <c r="G462" s="4" t="n">
        <v>2</v>
      </c>
      <c r="H462" s="5" t="n"/>
      <c r="I462" s="4" t="n">
        <v>68</v>
      </c>
      <c r="J462" s="6">
        <f>H462*F462</f>
        <v/>
      </c>
      <c r="K462" s="6">
        <f>J462-I462</f>
        <v/>
      </c>
      <c r="L462" s="7">
        <f>IF(I462=0,"",K462/I462)</f>
        <v/>
      </c>
      <c r="M462" s="6">
        <f>IF(ABS(L462)&lt;0.02," 合理",IF(ABS(L462)&lt;0.05," 关注"," 复查"))</f>
        <v/>
      </c>
    </row>
    <row r="463">
      <c r="A463" t="n">
        <v>462</v>
      </c>
      <c r="B463" t="inlineStr">
        <is>
          <t>厕纸架</t>
        </is>
      </c>
      <c r="C463" t="inlineStr">
        <is>
          <t>甲供</t>
        </is>
      </c>
      <c r="D463" t="inlineStr">
        <is>
          <t>套</t>
        </is>
      </c>
      <c r="E463" t="inlineStr">
        <is>
          <t>B1</t>
        </is>
      </c>
      <c r="F463" t="n">
        <v>68</v>
      </c>
      <c r="G463" s="4" t="n">
        <v>3</v>
      </c>
      <c r="H463" s="5" t="n"/>
      <c r="I463" s="4" t="n">
        <v>204</v>
      </c>
      <c r="J463" s="6">
        <f>H463*F463</f>
        <v/>
      </c>
      <c r="K463" s="6">
        <f>J463-I463</f>
        <v/>
      </c>
      <c r="L463" s="7">
        <f>IF(I463=0,"",K463/I463)</f>
        <v/>
      </c>
      <c r="M463" s="6">
        <f>IF(ABS(L463)&lt;0.02," 合理",IF(ABS(L463)&lt;0.05," 关注"," 复查"))</f>
        <v/>
      </c>
    </row>
    <row r="464">
      <c r="A464" t="n">
        <v>463</v>
      </c>
      <c r="B464" t="inlineStr">
        <is>
          <t>厕纸架</t>
        </is>
      </c>
      <c r="C464" t="inlineStr">
        <is>
          <t>甲供</t>
        </is>
      </c>
      <c r="D464" t="inlineStr">
        <is>
          <t>套</t>
        </is>
      </c>
      <c r="E464" t="inlineStr">
        <is>
          <t>B2</t>
        </is>
      </c>
      <c r="F464" t="n">
        <v>17</v>
      </c>
      <c r="G464" s="4" t="n">
        <v>3</v>
      </c>
      <c r="H464" s="5" t="n"/>
      <c r="I464" s="4" t="n">
        <v>51</v>
      </c>
      <c r="J464" s="6">
        <f>H464*F464</f>
        <v/>
      </c>
      <c r="K464" s="6">
        <f>J464-I464</f>
        <v/>
      </c>
      <c r="L464" s="7">
        <f>IF(I464=0,"",K464/I464)</f>
        <v/>
      </c>
      <c r="M464" s="6">
        <f>IF(ABS(L464)&lt;0.02," 合理",IF(ABS(L464)&lt;0.05," 关注"," 复查"))</f>
        <v/>
      </c>
    </row>
    <row r="465">
      <c r="A465" t="n">
        <v>464</v>
      </c>
      <c r="B465" t="inlineStr">
        <is>
          <t>厕纸架</t>
        </is>
      </c>
      <c r="C465" t="inlineStr">
        <is>
          <t>甲供</t>
        </is>
      </c>
      <c r="D465" t="inlineStr">
        <is>
          <t>套</t>
        </is>
      </c>
      <c r="E465" t="inlineStr">
        <is>
          <t>C</t>
        </is>
      </c>
      <c r="F465" t="n">
        <v>17</v>
      </c>
      <c r="G465" s="4" t="n">
        <v>3</v>
      </c>
      <c r="H465" s="5" t="n"/>
      <c r="I465" s="4" t="n">
        <v>51</v>
      </c>
      <c r="J465" s="6">
        <f>H465*F465</f>
        <v/>
      </c>
      <c r="K465" s="6">
        <f>J465-I465</f>
        <v/>
      </c>
      <c r="L465" s="7">
        <f>IF(I465=0,"",K465/I465)</f>
        <v/>
      </c>
      <c r="M465" s="6">
        <f>IF(ABS(L465)&lt;0.02," 合理",IF(ABS(L465)&lt;0.05," 关注"," 复查"))</f>
        <v/>
      </c>
    </row>
    <row r="466">
      <c r="A466" t="n">
        <v>465</v>
      </c>
      <c r="B466" t="inlineStr">
        <is>
          <t>厕纸架</t>
        </is>
      </c>
      <c r="C466" t="inlineStr">
        <is>
          <t>甲供</t>
        </is>
      </c>
      <c r="D466" t="inlineStr">
        <is>
          <t>套</t>
        </is>
      </c>
      <c r="E466" t="inlineStr">
        <is>
          <t>D1</t>
        </is>
      </c>
      <c r="F466" t="n">
        <v>34</v>
      </c>
      <c r="G466" s="4" t="n">
        <v>3</v>
      </c>
      <c r="H466" s="5" t="n"/>
      <c r="I466" s="4" t="n">
        <v>102</v>
      </c>
      <c r="J466" s="6">
        <f>H466*F466</f>
        <v/>
      </c>
      <c r="K466" s="6">
        <f>J466-I466</f>
        <v/>
      </c>
      <c r="L466" s="7">
        <f>IF(I466=0,"",K466/I466)</f>
        <v/>
      </c>
      <c r="M466" s="6">
        <f>IF(ABS(L466)&lt;0.02," 合理",IF(ABS(L466)&lt;0.05," 关注"," 复查"))</f>
        <v/>
      </c>
    </row>
    <row r="467">
      <c r="A467" t="n">
        <v>466</v>
      </c>
      <c r="B467" t="inlineStr">
        <is>
          <t>厕纸架</t>
        </is>
      </c>
      <c r="C467" t="inlineStr">
        <is>
          <t>甲供</t>
        </is>
      </c>
      <c r="D467" t="inlineStr">
        <is>
          <t>套</t>
        </is>
      </c>
      <c r="E467" t="inlineStr">
        <is>
          <t>D2</t>
        </is>
      </c>
      <c r="F467" t="n">
        <v>15</v>
      </c>
      <c r="G467" s="4" t="n">
        <v>3</v>
      </c>
      <c r="H467" s="5" t="n"/>
      <c r="I467" s="4" t="n">
        <v>45</v>
      </c>
      <c r="J467" s="6">
        <f>H467*F467</f>
        <v/>
      </c>
      <c r="K467" s="6">
        <f>J467-I467</f>
        <v/>
      </c>
      <c r="L467" s="7">
        <f>IF(I467=0,"",K467/I467)</f>
        <v/>
      </c>
      <c r="M467" s="6">
        <f>IF(ABS(L467)&lt;0.02," 合理",IF(ABS(L467)&lt;0.05," 关注"," 复查"))</f>
        <v/>
      </c>
    </row>
    <row r="468">
      <c r="A468" t="n">
        <v>467</v>
      </c>
      <c r="B468" t="inlineStr">
        <is>
          <t>厕纸架</t>
        </is>
      </c>
      <c r="C468" t="inlineStr">
        <is>
          <t>甲供</t>
        </is>
      </c>
      <c r="D468" t="inlineStr">
        <is>
          <t>套</t>
        </is>
      </c>
      <c r="E468" t="inlineStr">
        <is>
          <t>D3</t>
        </is>
      </c>
      <c r="F468" t="n">
        <v>2</v>
      </c>
      <c r="G468" s="4" t="n">
        <v>3</v>
      </c>
      <c r="H468" s="5" t="n"/>
      <c r="I468" s="4" t="n">
        <v>6</v>
      </c>
      <c r="J468" s="6">
        <f>H468*F468</f>
        <v/>
      </c>
      <c r="K468" s="6">
        <f>J468-I468</f>
        <v/>
      </c>
      <c r="L468" s="7">
        <f>IF(I468=0,"",K468/I468)</f>
        <v/>
      </c>
      <c r="M468" s="6">
        <f>IF(ABS(L468)&lt;0.02," 合理",IF(ABS(L468)&lt;0.05," 关注"," 复查"))</f>
        <v/>
      </c>
    </row>
    <row r="469">
      <c r="A469" t="n">
        <v>468</v>
      </c>
      <c r="B469" t="inlineStr">
        <is>
          <t>厕纸架</t>
        </is>
      </c>
      <c r="C469" t="inlineStr">
        <is>
          <t>甲供</t>
        </is>
      </c>
      <c r="D469" t="inlineStr">
        <is>
          <t>套</t>
        </is>
      </c>
      <c r="E469" t="inlineStr">
        <is>
          <t>D4</t>
        </is>
      </c>
      <c r="F469" t="n">
        <v>2</v>
      </c>
      <c r="G469" s="4" t="n">
        <v>3</v>
      </c>
      <c r="H469" s="5" t="n"/>
      <c r="I469" s="4" t="n">
        <v>6</v>
      </c>
      <c r="J469" s="6">
        <f>H469*F469</f>
        <v/>
      </c>
      <c r="K469" s="6">
        <f>J469-I469</f>
        <v/>
      </c>
      <c r="L469" s="7">
        <f>IF(I469=0,"",K469/I469)</f>
        <v/>
      </c>
      <c r="M469" s="6">
        <f>IF(ABS(L469)&lt;0.02," 合理",IF(ABS(L469)&lt;0.05," 关注"," 复查"))</f>
        <v/>
      </c>
    </row>
    <row r="470">
      <c r="A470" t="n">
        <v>469</v>
      </c>
      <c r="B470" t="inlineStr">
        <is>
          <t>厕纸架</t>
        </is>
      </c>
      <c r="C470" t="inlineStr">
        <is>
          <t>甲供</t>
        </is>
      </c>
      <c r="D470" t="inlineStr">
        <is>
          <t>套</t>
        </is>
      </c>
      <c r="E470" t="inlineStr">
        <is>
          <t>E</t>
        </is>
      </c>
      <c r="F470" t="n">
        <v>28</v>
      </c>
      <c r="G470" s="4" t="n">
        <v>3</v>
      </c>
      <c r="H470" s="5" t="n"/>
      <c r="I470" s="4" t="n">
        <v>84</v>
      </c>
      <c r="J470" s="6">
        <f>H470*F470</f>
        <v/>
      </c>
      <c r="K470" s="6">
        <f>J470-I470</f>
        <v/>
      </c>
      <c r="L470" s="7">
        <f>IF(I470=0,"",K470/I470)</f>
        <v/>
      </c>
      <c r="M470" s="6">
        <f>IF(ABS(L470)&lt;0.02," 合理",IF(ABS(L470)&lt;0.05," 关注"," 复查"))</f>
        <v/>
      </c>
    </row>
    <row r="471">
      <c r="A471" t="n">
        <v>470</v>
      </c>
      <c r="B471" t="inlineStr">
        <is>
          <t>暖风机</t>
        </is>
      </c>
      <c r="C471" t="inlineStr">
        <is>
          <t>甲供</t>
        </is>
      </c>
      <c r="D471" t="inlineStr">
        <is>
          <t>套</t>
        </is>
      </c>
      <c r="E471" t="inlineStr">
        <is>
          <t>A1</t>
        </is>
      </c>
      <c r="F471" t="n">
        <v>34</v>
      </c>
      <c r="G471" s="4" t="n">
        <v>2</v>
      </c>
      <c r="H471" s="5" t="n"/>
      <c r="I471" s="4" t="n">
        <v>68</v>
      </c>
      <c r="J471" s="6">
        <f>H471*F471</f>
        <v/>
      </c>
      <c r="K471" s="6">
        <f>J471-I471</f>
        <v/>
      </c>
      <c r="L471" s="7">
        <f>IF(I471=0,"",K471/I471)</f>
        <v/>
      </c>
      <c r="M471" s="6">
        <f>IF(ABS(L471)&lt;0.02," 合理",IF(ABS(L471)&lt;0.05," 关注"," 复查"))</f>
        <v/>
      </c>
    </row>
    <row r="472">
      <c r="A472" t="n">
        <v>471</v>
      </c>
      <c r="B472" t="inlineStr">
        <is>
          <t>暖风机</t>
        </is>
      </c>
      <c r="C472" t="inlineStr">
        <is>
          <t>甲供</t>
        </is>
      </c>
      <c r="D472" t="inlineStr">
        <is>
          <t>套</t>
        </is>
      </c>
      <c r="E472" t="inlineStr">
        <is>
          <t>B1</t>
        </is>
      </c>
      <c r="F472" t="n">
        <v>68</v>
      </c>
      <c r="G472" s="4" t="n">
        <v>3</v>
      </c>
      <c r="H472" s="5" t="n"/>
      <c r="I472" s="4" t="n">
        <v>204</v>
      </c>
      <c r="J472" s="6">
        <f>H472*F472</f>
        <v/>
      </c>
      <c r="K472" s="6">
        <f>J472-I472</f>
        <v/>
      </c>
      <c r="L472" s="7">
        <f>IF(I472=0,"",K472/I472)</f>
        <v/>
      </c>
      <c r="M472" s="6">
        <f>IF(ABS(L472)&lt;0.02," 合理",IF(ABS(L472)&lt;0.05," 关注"," 复查"))</f>
        <v/>
      </c>
    </row>
    <row r="473">
      <c r="A473" t="n">
        <v>472</v>
      </c>
      <c r="B473" t="inlineStr">
        <is>
          <t>暖风机</t>
        </is>
      </c>
      <c r="C473" t="inlineStr">
        <is>
          <t>甲供</t>
        </is>
      </c>
      <c r="D473" t="inlineStr">
        <is>
          <t>套</t>
        </is>
      </c>
      <c r="E473" t="inlineStr">
        <is>
          <t>B2</t>
        </is>
      </c>
      <c r="F473" t="n">
        <v>17</v>
      </c>
      <c r="G473" s="4" t="n">
        <v>3</v>
      </c>
      <c r="H473" s="5" t="n"/>
      <c r="I473" s="4" t="n">
        <v>51</v>
      </c>
      <c r="J473" s="6">
        <f>H473*F473</f>
        <v/>
      </c>
      <c r="K473" s="6">
        <f>J473-I473</f>
        <v/>
      </c>
      <c r="L473" s="7">
        <f>IF(I473=0,"",K473/I473)</f>
        <v/>
      </c>
      <c r="M473" s="6">
        <f>IF(ABS(L473)&lt;0.02," 合理",IF(ABS(L473)&lt;0.05," 关注"," 复查"))</f>
        <v/>
      </c>
    </row>
    <row r="474">
      <c r="A474" t="n">
        <v>473</v>
      </c>
      <c r="B474" t="inlineStr">
        <is>
          <t>暖风机</t>
        </is>
      </c>
      <c r="C474" t="inlineStr">
        <is>
          <t>甲供</t>
        </is>
      </c>
      <c r="D474" t="inlineStr">
        <is>
          <t>套</t>
        </is>
      </c>
      <c r="E474" t="inlineStr">
        <is>
          <t>C</t>
        </is>
      </c>
      <c r="F474" t="n">
        <v>17</v>
      </c>
      <c r="G474" s="4" t="n">
        <v>3</v>
      </c>
      <c r="H474" s="5" t="n"/>
      <c r="I474" s="4" t="n">
        <v>51</v>
      </c>
      <c r="J474" s="6">
        <f>H474*F474</f>
        <v/>
      </c>
      <c r="K474" s="6">
        <f>J474-I474</f>
        <v/>
      </c>
      <c r="L474" s="7">
        <f>IF(I474=0,"",K474/I474)</f>
        <v/>
      </c>
      <c r="M474" s="6">
        <f>IF(ABS(L474)&lt;0.02," 合理",IF(ABS(L474)&lt;0.05," 关注"," 复查"))</f>
        <v/>
      </c>
    </row>
    <row r="475">
      <c r="A475" t="n">
        <v>474</v>
      </c>
      <c r="B475" t="inlineStr">
        <is>
          <t>暖风机</t>
        </is>
      </c>
      <c r="C475" t="inlineStr">
        <is>
          <t>甲供</t>
        </is>
      </c>
      <c r="D475" t="inlineStr">
        <is>
          <t>套</t>
        </is>
      </c>
      <c r="E475" t="inlineStr">
        <is>
          <t>D1</t>
        </is>
      </c>
      <c r="F475" t="n">
        <v>34</v>
      </c>
      <c r="G475" s="4" t="n">
        <v>3</v>
      </c>
      <c r="H475" s="5" t="n"/>
      <c r="I475" s="4" t="n">
        <v>102</v>
      </c>
      <c r="J475" s="6">
        <f>H475*F475</f>
        <v/>
      </c>
      <c r="K475" s="6">
        <f>J475-I475</f>
        <v/>
      </c>
      <c r="L475" s="7">
        <f>IF(I475=0,"",K475/I475)</f>
        <v/>
      </c>
      <c r="M475" s="6">
        <f>IF(ABS(L475)&lt;0.02," 合理",IF(ABS(L475)&lt;0.05," 关注"," 复查"))</f>
        <v/>
      </c>
    </row>
    <row r="476">
      <c r="A476" t="n">
        <v>475</v>
      </c>
      <c r="B476" t="inlineStr">
        <is>
          <t>暖风机</t>
        </is>
      </c>
      <c r="C476" t="inlineStr">
        <is>
          <t>甲供</t>
        </is>
      </c>
      <c r="D476" t="inlineStr">
        <is>
          <t>套</t>
        </is>
      </c>
      <c r="E476" t="inlineStr">
        <is>
          <t>D2</t>
        </is>
      </c>
      <c r="F476" t="n">
        <v>15</v>
      </c>
      <c r="G476" s="4" t="n">
        <v>3</v>
      </c>
      <c r="H476" s="5" t="n"/>
      <c r="I476" s="4" t="n">
        <v>45</v>
      </c>
      <c r="J476" s="6">
        <f>H476*F476</f>
        <v/>
      </c>
      <c r="K476" s="6">
        <f>J476-I476</f>
        <v/>
      </c>
      <c r="L476" s="7">
        <f>IF(I476=0,"",K476/I476)</f>
        <v/>
      </c>
      <c r="M476" s="6">
        <f>IF(ABS(L476)&lt;0.02," 合理",IF(ABS(L476)&lt;0.05," 关注"," 复查"))</f>
        <v/>
      </c>
    </row>
    <row r="477">
      <c r="A477" t="n">
        <v>476</v>
      </c>
      <c r="B477" t="inlineStr">
        <is>
          <t>暖风机</t>
        </is>
      </c>
      <c r="C477" t="inlineStr">
        <is>
          <t>甲供</t>
        </is>
      </c>
      <c r="D477" t="inlineStr">
        <is>
          <t>套</t>
        </is>
      </c>
      <c r="E477" t="inlineStr">
        <is>
          <t>D3</t>
        </is>
      </c>
      <c r="F477" t="n">
        <v>2</v>
      </c>
      <c r="G477" s="4" t="n">
        <v>3</v>
      </c>
      <c r="H477" s="5" t="n"/>
      <c r="I477" s="4" t="n">
        <v>6</v>
      </c>
      <c r="J477" s="6">
        <f>H477*F477</f>
        <v/>
      </c>
      <c r="K477" s="6">
        <f>J477-I477</f>
        <v/>
      </c>
      <c r="L477" s="7">
        <f>IF(I477=0,"",K477/I477)</f>
        <v/>
      </c>
      <c r="M477" s="6">
        <f>IF(ABS(L477)&lt;0.02," 合理",IF(ABS(L477)&lt;0.05," 关注"," 复查"))</f>
        <v/>
      </c>
    </row>
    <row r="478">
      <c r="A478" t="n">
        <v>477</v>
      </c>
      <c r="B478" t="inlineStr">
        <is>
          <t>暖风机</t>
        </is>
      </c>
      <c r="C478" t="inlineStr">
        <is>
          <t>甲供</t>
        </is>
      </c>
      <c r="D478" t="inlineStr">
        <is>
          <t>套</t>
        </is>
      </c>
      <c r="E478" t="inlineStr">
        <is>
          <t>D4</t>
        </is>
      </c>
      <c r="F478" t="n">
        <v>2</v>
      </c>
      <c r="G478" s="4" t="n">
        <v>3</v>
      </c>
      <c r="H478" s="5" t="n"/>
      <c r="I478" s="4" t="n">
        <v>6</v>
      </c>
      <c r="J478" s="6">
        <f>H478*F478</f>
        <v/>
      </c>
      <c r="K478" s="6">
        <f>J478-I478</f>
        <v/>
      </c>
      <c r="L478" s="7">
        <f>IF(I478=0,"",K478/I478)</f>
        <v/>
      </c>
      <c r="M478" s="6">
        <f>IF(ABS(L478)&lt;0.02," 合理",IF(ABS(L478)&lt;0.05," 关注"," 复查"))</f>
        <v/>
      </c>
    </row>
    <row r="479">
      <c r="A479" t="n">
        <v>478</v>
      </c>
      <c r="B479" t="inlineStr">
        <is>
          <t>暖风机</t>
        </is>
      </c>
      <c r="C479" t="inlineStr">
        <is>
          <t>甲供</t>
        </is>
      </c>
      <c r="D479" t="inlineStr">
        <is>
          <t>套</t>
        </is>
      </c>
      <c r="E479" t="inlineStr">
        <is>
          <t>E</t>
        </is>
      </c>
      <c r="F479" t="n">
        <v>28</v>
      </c>
      <c r="G479" s="4" t="n">
        <v>3</v>
      </c>
      <c r="H479" s="5" t="n"/>
      <c r="I479" s="4" t="n">
        <v>84</v>
      </c>
      <c r="J479" s="6">
        <f>H479*F479</f>
        <v/>
      </c>
      <c r="K479" s="6">
        <f>J479-I479</f>
        <v/>
      </c>
      <c r="L479" s="7">
        <f>IF(I479=0,"",K479/I479)</f>
        <v/>
      </c>
      <c r="M479" s="6">
        <f>IF(ABS(L479)&lt;0.02," 合理",IF(ABS(L479)&lt;0.05," 关注"," 复查"))</f>
        <v/>
      </c>
    </row>
    <row r="480">
      <c r="A480" t="n">
        <v>479</v>
      </c>
      <c r="B480" t="inlineStr">
        <is>
          <t>凉霸</t>
        </is>
      </c>
      <c r="C480" t="inlineStr">
        <is>
          <t>甲供</t>
        </is>
      </c>
      <c r="D480" t="inlineStr">
        <is>
          <t>套</t>
        </is>
      </c>
      <c r="E480" t="inlineStr">
        <is>
          <t>A1</t>
        </is>
      </c>
      <c r="F480" t="n">
        <v>34</v>
      </c>
      <c r="G480" s="4" t="n">
        <v>1</v>
      </c>
      <c r="H480" s="5" t="n"/>
      <c r="I480" s="4" t="n">
        <v>34</v>
      </c>
      <c r="J480" s="6">
        <f>H480*F480</f>
        <v/>
      </c>
      <c r="K480" s="6">
        <f>J480-I480</f>
        <v/>
      </c>
      <c r="L480" s="7">
        <f>IF(I480=0,"",K480/I480)</f>
        <v/>
      </c>
      <c r="M480" s="6">
        <f>IF(ABS(L480)&lt;0.02," 合理",IF(ABS(L480)&lt;0.05," 关注"," 复查"))</f>
        <v/>
      </c>
    </row>
    <row r="481">
      <c r="A481" t="n">
        <v>480</v>
      </c>
      <c r="B481" t="inlineStr">
        <is>
          <t>凉霸</t>
        </is>
      </c>
      <c r="C481" t="inlineStr">
        <is>
          <t>甲供</t>
        </is>
      </c>
      <c r="D481" t="inlineStr">
        <is>
          <t>套</t>
        </is>
      </c>
      <c r="E481" t="inlineStr">
        <is>
          <t>B1</t>
        </is>
      </c>
      <c r="F481" t="n">
        <v>68</v>
      </c>
      <c r="G481" s="4" t="n">
        <v>1</v>
      </c>
      <c r="H481" s="5" t="n"/>
      <c r="I481" s="4" t="n">
        <v>68</v>
      </c>
      <c r="J481" s="6">
        <f>H481*F481</f>
        <v/>
      </c>
      <c r="K481" s="6">
        <f>J481-I481</f>
        <v/>
      </c>
      <c r="L481" s="7">
        <f>IF(I481=0,"",K481/I481)</f>
        <v/>
      </c>
      <c r="M481" s="6">
        <f>IF(ABS(L481)&lt;0.02," 合理",IF(ABS(L481)&lt;0.05," 关注"," 复查"))</f>
        <v/>
      </c>
    </row>
    <row r="482">
      <c r="A482" t="n">
        <v>481</v>
      </c>
      <c r="B482" t="inlineStr">
        <is>
          <t>凉霸</t>
        </is>
      </c>
      <c r="C482" t="inlineStr">
        <is>
          <t>甲供</t>
        </is>
      </c>
      <c r="D482" t="inlineStr">
        <is>
          <t>套</t>
        </is>
      </c>
      <c r="E482" t="inlineStr">
        <is>
          <t>B2</t>
        </is>
      </c>
      <c r="F482" t="n">
        <v>17</v>
      </c>
      <c r="G482" s="4" t="n">
        <v>1</v>
      </c>
      <c r="H482" s="5" t="n"/>
      <c r="I482" s="4" t="n">
        <v>17</v>
      </c>
      <c r="J482" s="6">
        <f>H482*F482</f>
        <v/>
      </c>
      <c r="K482" s="6">
        <f>J482-I482</f>
        <v/>
      </c>
      <c r="L482" s="7">
        <f>IF(I482=0,"",K482/I482)</f>
        <v/>
      </c>
      <c r="M482" s="6">
        <f>IF(ABS(L482)&lt;0.02," 合理",IF(ABS(L482)&lt;0.05," 关注"," 复查"))</f>
        <v/>
      </c>
    </row>
    <row r="483">
      <c r="A483" t="n">
        <v>482</v>
      </c>
      <c r="B483" t="inlineStr">
        <is>
          <t>凉霸</t>
        </is>
      </c>
      <c r="C483" t="inlineStr">
        <is>
          <t>甲供</t>
        </is>
      </c>
      <c r="D483" t="inlineStr">
        <is>
          <t>套</t>
        </is>
      </c>
      <c r="E483" t="inlineStr">
        <is>
          <t>C</t>
        </is>
      </c>
      <c r="F483" t="n">
        <v>17</v>
      </c>
      <c r="G483" s="4" t="n">
        <v>1</v>
      </c>
      <c r="H483" s="5" t="n"/>
      <c r="I483" s="4" t="n">
        <v>17</v>
      </c>
      <c r="J483" s="6">
        <f>H483*F483</f>
        <v/>
      </c>
      <c r="K483" s="6">
        <f>J483-I483</f>
        <v/>
      </c>
      <c r="L483" s="7">
        <f>IF(I483=0,"",K483/I483)</f>
        <v/>
      </c>
      <c r="M483" s="6">
        <f>IF(ABS(L483)&lt;0.02," 合理",IF(ABS(L483)&lt;0.05," 关注"," 复查"))</f>
        <v/>
      </c>
    </row>
    <row r="484">
      <c r="A484" t="n">
        <v>483</v>
      </c>
      <c r="B484" t="inlineStr">
        <is>
          <t>凉霸</t>
        </is>
      </c>
      <c r="C484" t="inlineStr">
        <is>
          <t>甲供</t>
        </is>
      </c>
      <c r="D484" t="inlineStr">
        <is>
          <t>套</t>
        </is>
      </c>
      <c r="E484" t="inlineStr">
        <is>
          <t>D1</t>
        </is>
      </c>
      <c r="F484" t="n">
        <v>34</v>
      </c>
      <c r="G484" s="4" t="n">
        <v>1</v>
      </c>
      <c r="H484" s="5" t="n"/>
      <c r="I484" s="4" t="n">
        <v>34</v>
      </c>
      <c r="J484" s="6">
        <f>H484*F484</f>
        <v/>
      </c>
      <c r="K484" s="6">
        <f>J484-I484</f>
        <v/>
      </c>
      <c r="L484" s="7">
        <f>IF(I484=0,"",K484/I484)</f>
        <v/>
      </c>
      <c r="M484" s="6">
        <f>IF(ABS(L484)&lt;0.02," 合理",IF(ABS(L484)&lt;0.05," 关注"," 复查"))</f>
        <v/>
      </c>
    </row>
    <row r="485">
      <c r="A485" t="n">
        <v>484</v>
      </c>
      <c r="B485" t="inlineStr">
        <is>
          <t>凉霸</t>
        </is>
      </c>
      <c r="C485" t="inlineStr">
        <is>
          <t>甲供</t>
        </is>
      </c>
      <c r="D485" t="inlineStr">
        <is>
          <t>套</t>
        </is>
      </c>
      <c r="E485" t="inlineStr">
        <is>
          <t>D2</t>
        </is>
      </c>
      <c r="F485" t="n">
        <v>15</v>
      </c>
      <c r="G485" s="4" t="n">
        <v>1</v>
      </c>
      <c r="H485" s="5" t="n"/>
      <c r="I485" s="4" t="n">
        <v>15</v>
      </c>
      <c r="J485" s="6">
        <f>H485*F485</f>
        <v/>
      </c>
      <c r="K485" s="6">
        <f>J485-I485</f>
        <v/>
      </c>
      <c r="L485" s="7">
        <f>IF(I485=0,"",K485/I485)</f>
        <v/>
      </c>
      <c r="M485" s="6">
        <f>IF(ABS(L485)&lt;0.02," 合理",IF(ABS(L485)&lt;0.05," 关注"," 复查"))</f>
        <v/>
      </c>
    </row>
    <row r="486">
      <c r="A486" t="n">
        <v>485</v>
      </c>
      <c r="B486" t="inlineStr">
        <is>
          <t>凉霸</t>
        </is>
      </c>
      <c r="C486" t="inlineStr">
        <is>
          <t>甲供</t>
        </is>
      </c>
      <c r="D486" t="inlineStr">
        <is>
          <t>套</t>
        </is>
      </c>
      <c r="E486" t="inlineStr">
        <is>
          <t>D3</t>
        </is>
      </c>
      <c r="F486" t="n">
        <v>2</v>
      </c>
      <c r="G486" s="4" t="n">
        <v>1</v>
      </c>
      <c r="H486" s="5" t="n"/>
      <c r="I486" s="4" t="n">
        <v>2</v>
      </c>
      <c r="J486" s="6">
        <f>H486*F486</f>
        <v/>
      </c>
      <c r="K486" s="6">
        <f>J486-I486</f>
        <v/>
      </c>
      <c r="L486" s="7">
        <f>IF(I486=0,"",K486/I486)</f>
        <v/>
      </c>
      <c r="M486" s="6">
        <f>IF(ABS(L486)&lt;0.02," 合理",IF(ABS(L486)&lt;0.05," 关注"," 复查"))</f>
        <v/>
      </c>
    </row>
    <row r="487">
      <c r="A487" t="n">
        <v>486</v>
      </c>
      <c r="B487" t="inlineStr">
        <is>
          <t>凉霸</t>
        </is>
      </c>
      <c r="C487" t="inlineStr">
        <is>
          <t>甲供</t>
        </is>
      </c>
      <c r="D487" t="inlineStr">
        <is>
          <t>套</t>
        </is>
      </c>
      <c r="E487" t="inlineStr">
        <is>
          <t>D4</t>
        </is>
      </c>
      <c r="F487" t="n">
        <v>2</v>
      </c>
      <c r="G487" s="4" t="n">
        <v>1</v>
      </c>
      <c r="H487" s="5" t="n"/>
      <c r="I487" s="4" t="n">
        <v>2</v>
      </c>
      <c r="J487" s="6">
        <f>H487*F487</f>
        <v/>
      </c>
      <c r="K487" s="6">
        <f>J487-I487</f>
        <v/>
      </c>
      <c r="L487" s="7">
        <f>IF(I487=0,"",K487/I487)</f>
        <v/>
      </c>
      <c r="M487" s="6">
        <f>IF(ABS(L487)&lt;0.02," 合理",IF(ABS(L487)&lt;0.05," 关注"," 复查"))</f>
        <v/>
      </c>
    </row>
    <row r="488">
      <c r="A488" t="n">
        <v>487</v>
      </c>
      <c r="B488" t="inlineStr">
        <is>
          <t>凉霸</t>
        </is>
      </c>
      <c r="C488" t="inlineStr">
        <is>
          <t>甲供</t>
        </is>
      </c>
      <c r="D488" t="inlineStr">
        <is>
          <t>套</t>
        </is>
      </c>
      <c r="E488" t="inlineStr">
        <is>
          <t>E</t>
        </is>
      </c>
      <c r="F488" t="n">
        <v>28</v>
      </c>
      <c r="G488" s="4" t="n">
        <v>1</v>
      </c>
      <c r="H488" s="5" t="n"/>
      <c r="I488" s="4" t="n">
        <v>28</v>
      </c>
      <c r="J488" s="6">
        <f>H488*F488</f>
        <v/>
      </c>
      <c r="K488" s="6">
        <f>J488-I488</f>
        <v/>
      </c>
      <c r="L488" s="7">
        <f>IF(I488=0,"",K488/I488)</f>
        <v/>
      </c>
      <c r="M488" s="6">
        <f>IF(ABS(L488)&lt;0.02," 合理",IF(ABS(L488)&lt;0.05," 关注"," 复查"))</f>
        <v/>
      </c>
    </row>
    <row r="489">
      <c r="A489" t="n">
        <v>488</v>
      </c>
      <c r="B489" t="inlineStr">
        <is>
          <t>打压表</t>
        </is>
      </c>
      <c r="C489" t="inlineStr">
        <is>
          <t>乙供</t>
        </is>
      </c>
      <c r="D489" t="inlineStr">
        <is>
          <t>套</t>
        </is>
      </c>
      <c r="E489" t="inlineStr">
        <is>
          <t>A1</t>
        </is>
      </c>
      <c r="F489" t="n">
        <v>34</v>
      </c>
      <c r="G489" s="4" t="n">
        <v>1</v>
      </c>
      <c r="H489" s="5" t="n"/>
      <c r="I489" s="4" t="n">
        <v>34</v>
      </c>
      <c r="J489" s="6">
        <f>H489*F489</f>
        <v/>
      </c>
      <c r="K489" s="6">
        <f>J489-I489</f>
        <v/>
      </c>
      <c r="L489" s="7">
        <f>IF(I489=0,"",K489/I489)</f>
        <v/>
      </c>
      <c r="M489" s="6">
        <f>IF(ABS(L489)&lt;0.02," 合理",IF(ABS(L489)&lt;0.05," 关注"," 复查"))</f>
        <v/>
      </c>
    </row>
    <row r="490">
      <c r="A490" t="n">
        <v>489</v>
      </c>
      <c r="B490" t="inlineStr">
        <is>
          <t>打压表</t>
        </is>
      </c>
      <c r="C490" t="inlineStr">
        <is>
          <t>乙供</t>
        </is>
      </c>
      <c r="D490" t="inlineStr">
        <is>
          <t>套</t>
        </is>
      </c>
      <c r="E490" t="inlineStr">
        <is>
          <t>B1</t>
        </is>
      </c>
      <c r="F490" t="n">
        <v>68</v>
      </c>
      <c r="G490" s="4" t="n">
        <v>1</v>
      </c>
      <c r="H490" s="5" t="n"/>
      <c r="I490" s="4" t="n">
        <v>68</v>
      </c>
      <c r="J490" s="6">
        <f>H490*F490</f>
        <v/>
      </c>
      <c r="K490" s="6">
        <f>J490-I490</f>
        <v/>
      </c>
      <c r="L490" s="7">
        <f>IF(I490=0,"",K490/I490)</f>
        <v/>
      </c>
      <c r="M490" s="6">
        <f>IF(ABS(L490)&lt;0.02," 合理",IF(ABS(L490)&lt;0.05," 关注"," 复查"))</f>
        <v/>
      </c>
    </row>
    <row r="491">
      <c r="A491" t="n">
        <v>490</v>
      </c>
      <c r="B491" t="inlineStr">
        <is>
          <t>打压表</t>
        </is>
      </c>
      <c r="C491" t="inlineStr">
        <is>
          <t>乙供</t>
        </is>
      </c>
      <c r="D491" t="inlineStr">
        <is>
          <t>套</t>
        </is>
      </c>
      <c r="E491" t="inlineStr">
        <is>
          <t>B2</t>
        </is>
      </c>
      <c r="F491" t="n">
        <v>17</v>
      </c>
      <c r="G491" s="4" t="n">
        <v>1</v>
      </c>
      <c r="H491" s="5" t="n"/>
      <c r="I491" s="4" t="n">
        <v>17</v>
      </c>
      <c r="J491" s="6">
        <f>H491*F491</f>
        <v/>
      </c>
      <c r="K491" s="6">
        <f>J491-I491</f>
        <v/>
      </c>
      <c r="L491" s="7">
        <f>IF(I491=0,"",K491/I491)</f>
        <v/>
      </c>
      <c r="M491" s="6">
        <f>IF(ABS(L491)&lt;0.02," 合理",IF(ABS(L491)&lt;0.05," 关注"," 复查"))</f>
        <v/>
      </c>
    </row>
    <row r="492">
      <c r="A492" t="n">
        <v>491</v>
      </c>
      <c r="B492" t="inlineStr">
        <is>
          <t>打压表</t>
        </is>
      </c>
      <c r="C492" t="inlineStr">
        <is>
          <t>乙供</t>
        </is>
      </c>
      <c r="D492" t="inlineStr">
        <is>
          <t>套</t>
        </is>
      </c>
      <c r="E492" t="inlineStr">
        <is>
          <t>C</t>
        </is>
      </c>
      <c r="F492" t="n">
        <v>17</v>
      </c>
      <c r="G492" s="4" t="n">
        <v>1</v>
      </c>
      <c r="H492" s="5" t="n"/>
      <c r="I492" s="4" t="n">
        <v>17</v>
      </c>
      <c r="J492" s="6">
        <f>H492*F492</f>
        <v/>
      </c>
      <c r="K492" s="6">
        <f>J492-I492</f>
        <v/>
      </c>
      <c r="L492" s="7">
        <f>IF(I492=0,"",K492/I492)</f>
        <v/>
      </c>
      <c r="M492" s="6">
        <f>IF(ABS(L492)&lt;0.02," 合理",IF(ABS(L492)&lt;0.05," 关注"," 复查"))</f>
        <v/>
      </c>
    </row>
    <row r="493">
      <c r="A493" t="n">
        <v>492</v>
      </c>
      <c r="B493" t="inlineStr">
        <is>
          <t>打压表</t>
        </is>
      </c>
      <c r="C493" t="inlineStr">
        <is>
          <t>乙供</t>
        </is>
      </c>
      <c r="D493" t="inlineStr">
        <is>
          <t>套</t>
        </is>
      </c>
      <c r="E493" t="inlineStr">
        <is>
          <t>D1</t>
        </is>
      </c>
      <c r="F493" t="n">
        <v>34</v>
      </c>
      <c r="G493" s="4" t="n">
        <v>1</v>
      </c>
      <c r="H493" s="5" t="n"/>
      <c r="I493" s="4" t="n">
        <v>34</v>
      </c>
      <c r="J493" s="6">
        <f>H493*F493</f>
        <v/>
      </c>
      <c r="K493" s="6">
        <f>J493-I493</f>
        <v/>
      </c>
      <c r="L493" s="7">
        <f>IF(I493=0,"",K493/I493)</f>
        <v/>
      </c>
      <c r="M493" s="6">
        <f>IF(ABS(L493)&lt;0.02," 合理",IF(ABS(L493)&lt;0.05," 关注"," 复查"))</f>
        <v/>
      </c>
    </row>
    <row r="494">
      <c r="A494" t="n">
        <v>493</v>
      </c>
      <c r="B494" t="inlineStr">
        <is>
          <t>打压表</t>
        </is>
      </c>
      <c r="C494" t="inlineStr">
        <is>
          <t>乙供</t>
        </is>
      </c>
      <c r="D494" t="inlineStr">
        <is>
          <t>套</t>
        </is>
      </c>
      <c r="E494" t="inlineStr">
        <is>
          <t>D2</t>
        </is>
      </c>
      <c r="F494" t="n">
        <v>15</v>
      </c>
      <c r="G494" s="4" t="n">
        <v>1</v>
      </c>
      <c r="H494" s="5" t="n"/>
      <c r="I494" s="4" t="n">
        <v>15</v>
      </c>
      <c r="J494" s="6">
        <f>H494*F494</f>
        <v/>
      </c>
      <c r="K494" s="6">
        <f>J494-I494</f>
        <v/>
      </c>
      <c r="L494" s="7">
        <f>IF(I494=0,"",K494/I494)</f>
        <v/>
      </c>
      <c r="M494" s="6">
        <f>IF(ABS(L494)&lt;0.02," 合理",IF(ABS(L494)&lt;0.05," 关注"," 复查"))</f>
        <v/>
      </c>
    </row>
    <row r="495">
      <c r="A495" t="n">
        <v>494</v>
      </c>
      <c r="B495" t="inlineStr">
        <is>
          <t>打压表</t>
        </is>
      </c>
      <c r="C495" t="inlineStr">
        <is>
          <t>乙供</t>
        </is>
      </c>
      <c r="D495" t="inlineStr">
        <is>
          <t>套</t>
        </is>
      </c>
      <c r="E495" t="inlineStr">
        <is>
          <t>D3</t>
        </is>
      </c>
      <c r="F495" t="n">
        <v>2</v>
      </c>
      <c r="G495" s="4" t="n">
        <v>1</v>
      </c>
      <c r="H495" s="5" t="n"/>
      <c r="I495" s="4" t="n">
        <v>2</v>
      </c>
      <c r="J495" s="6">
        <f>H495*F495</f>
        <v/>
      </c>
      <c r="K495" s="6">
        <f>J495-I495</f>
        <v/>
      </c>
      <c r="L495" s="7">
        <f>IF(I495=0,"",K495/I495)</f>
        <v/>
      </c>
      <c r="M495" s="6">
        <f>IF(ABS(L495)&lt;0.02," 合理",IF(ABS(L495)&lt;0.05," 关注"," 复查"))</f>
        <v/>
      </c>
    </row>
    <row r="496">
      <c r="A496" t="n">
        <v>495</v>
      </c>
      <c r="B496" t="inlineStr">
        <is>
          <t>打压表</t>
        </is>
      </c>
      <c r="C496" t="inlineStr">
        <is>
          <t>乙供</t>
        </is>
      </c>
      <c r="D496" t="inlineStr">
        <is>
          <t>套</t>
        </is>
      </c>
      <c r="E496" t="inlineStr">
        <is>
          <t>D4</t>
        </is>
      </c>
      <c r="F496" t="n">
        <v>2</v>
      </c>
      <c r="G496" s="4" t="n">
        <v>1</v>
      </c>
      <c r="H496" s="5" t="n"/>
      <c r="I496" s="4" t="n">
        <v>2</v>
      </c>
      <c r="J496" s="6">
        <f>H496*F496</f>
        <v/>
      </c>
      <c r="K496" s="6">
        <f>J496-I496</f>
        <v/>
      </c>
      <c r="L496" s="7">
        <f>IF(I496=0,"",K496/I496)</f>
        <v/>
      </c>
      <c r="M496" s="6">
        <f>IF(ABS(L496)&lt;0.02," 合理",IF(ABS(L496)&lt;0.05," 关注"," 复查"))</f>
        <v/>
      </c>
    </row>
    <row r="497">
      <c r="A497" t="n">
        <v>496</v>
      </c>
      <c r="B497" t="inlineStr">
        <is>
          <t>打压表</t>
        </is>
      </c>
      <c r="C497" t="inlineStr">
        <is>
          <t>乙供</t>
        </is>
      </c>
      <c r="D497" t="inlineStr">
        <is>
          <t>套</t>
        </is>
      </c>
      <c r="E497" t="inlineStr">
        <is>
          <t>E</t>
        </is>
      </c>
      <c r="F497" t="n">
        <v>28</v>
      </c>
      <c r="G497" s="4" t="n">
        <v>1</v>
      </c>
      <c r="H497" s="5" t="n"/>
      <c r="I497" s="4" t="n">
        <v>28</v>
      </c>
      <c r="J497" s="6">
        <f>H497*F497</f>
        <v/>
      </c>
      <c r="K497" s="6">
        <f>J497-I497</f>
        <v/>
      </c>
      <c r="L497" s="7">
        <f>IF(I497=0,"",K497/I497)</f>
        <v/>
      </c>
      <c r="M497" s="6">
        <f>IF(ABS(L497)&lt;0.02," 合理",IF(ABS(L497)&lt;0.05," 关注"," 复查"))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" t="inlineStr">
        <is>
          <t>序号</t>
        </is>
      </c>
      <c r="B1" s="3" t="inlineStr">
        <is>
          <t>材料名称</t>
        </is>
      </c>
      <c r="C1" s="3" t="inlineStr">
        <is>
          <t>供应方式</t>
        </is>
      </c>
      <c r="D1" s="3" t="inlineStr">
        <is>
          <t>单位</t>
        </is>
      </c>
      <c r="E1" s="3" t="inlineStr">
        <is>
          <t>户型</t>
        </is>
      </c>
      <c r="F1" s="3" t="inlineStr">
        <is>
          <t>户数</t>
        </is>
      </c>
      <c r="G1" s="3" t="inlineStr">
        <is>
          <t>BOQ每户量</t>
        </is>
      </c>
      <c r="H1" s="3" t="inlineStr">
        <is>
          <t>图算每户量</t>
        </is>
      </c>
      <c r="I1" s="3" t="inlineStr">
        <is>
          <t>BOQ总量</t>
        </is>
      </c>
      <c r="J1" s="3" t="inlineStr">
        <is>
          <t>图算总量</t>
        </is>
      </c>
      <c r="K1" s="3" t="inlineStr">
        <is>
          <t>差异</t>
        </is>
      </c>
      <c r="L1" s="3" t="inlineStr">
        <is>
          <t>差异率</t>
        </is>
      </c>
      <c r="M1" s="3" t="inlineStr">
        <is>
          <t>判定</t>
        </is>
      </c>
    </row>
    <row r="2">
      <c r="A2" t="n">
        <v>1</v>
      </c>
      <c r="B2" t="inlineStr">
        <is>
          <t>燃气壁挂炉24KW</t>
        </is>
      </c>
      <c r="C2" t="inlineStr">
        <is>
          <t>甲供</t>
        </is>
      </c>
      <c r="D2" t="inlineStr">
        <is>
          <t>台</t>
        </is>
      </c>
      <c r="E2" t="inlineStr">
        <is>
          <t>A1</t>
        </is>
      </c>
      <c r="F2" t="n">
        <v>34</v>
      </c>
      <c r="G2" s="4" t="n">
        <v>1</v>
      </c>
      <c r="H2" s="5" t="n"/>
      <c r="I2" s="4" t="n">
        <v>34</v>
      </c>
      <c r="J2" s="6">
        <f>H2*F2</f>
        <v/>
      </c>
      <c r="K2" s="6">
        <f>J2-I2</f>
        <v/>
      </c>
      <c r="L2" s="7">
        <f>IF(I2=0,"",K2/I2)</f>
        <v/>
      </c>
      <c r="M2" s="6">
        <f>IF(ABS(L2)&lt;0.02," 合理",IF(ABS(L2)&lt;0.05," 关注"," 复查"))</f>
        <v/>
      </c>
    </row>
    <row r="3">
      <c r="A3" t="n">
        <v>2</v>
      </c>
      <c r="B3" t="inlineStr">
        <is>
          <t>燃气壁挂炉30KW</t>
        </is>
      </c>
      <c r="C3" t="inlineStr">
        <is>
          <t>甲供</t>
        </is>
      </c>
      <c r="D3" t="inlineStr">
        <is>
          <t>台</t>
        </is>
      </c>
      <c r="E3" t="inlineStr">
        <is>
          <t>B1</t>
        </is>
      </c>
      <c r="F3" t="n">
        <v>68</v>
      </c>
      <c r="G3" s="4" t="n">
        <v>1</v>
      </c>
      <c r="H3" s="5" t="n"/>
      <c r="I3" s="4" t="n">
        <v>68</v>
      </c>
      <c r="J3" s="6">
        <f>H3*F3</f>
        <v/>
      </c>
      <c r="K3" s="6">
        <f>J3-I3</f>
        <v/>
      </c>
      <c r="L3" s="7">
        <f>IF(I3=0,"",K3/I3)</f>
        <v/>
      </c>
      <c r="M3" s="6">
        <f>IF(ABS(L3)&lt;0.02," 合理",IF(ABS(L3)&lt;0.05," 关注"," 复查"))</f>
        <v/>
      </c>
    </row>
    <row r="4">
      <c r="A4" t="n">
        <v>3</v>
      </c>
      <c r="B4" t="inlineStr">
        <is>
          <t>燃气壁挂炉30KW</t>
        </is>
      </c>
      <c r="C4" t="inlineStr">
        <is>
          <t>甲供</t>
        </is>
      </c>
      <c r="D4" t="inlineStr">
        <is>
          <t>台</t>
        </is>
      </c>
      <c r="E4" t="inlineStr">
        <is>
          <t>B2</t>
        </is>
      </c>
      <c r="F4" t="n">
        <v>17</v>
      </c>
      <c r="G4" s="4" t="n">
        <v>1</v>
      </c>
      <c r="H4" s="5" t="n"/>
      <c r="I4" s="4" t="n">
        <v>17</v>
      </c>
      <c r="J4" s="6">
        <f>H4*F4</f>
        <v/>
      </c>
      <c r="K4" s="6">
        <f>J4-I4</f>
        <v/>
      </c>
      <c r="L4" s="7">
        <f>IF(I4=0,"",K4/I4)</f>
        <v/>
      </c>
      <c r="M4" s="6">
        <f>IF(ABS(L4)&lt;0.02," 合理",IF(ABS(L4)&lt;0.05," 关注"," 复查"))</f>
        <v/>
      </c>
    </row>
    <row r="5">
      <c r="A5" t="n">
        <v>4</v>
      </c>
      <c r="B5" t="inlineStr">
        <is>
          <t>燃气壁挂炉30KW</t>
        </is>
      </c>
      <c r="C5" t="inlineStr">
        <is>
          <t>甲供</t>
        </is>
      </c>
      <c r="D5" t="inlineStr">
        <is>
          <t>台</t>
        </is>
      </c>
      <c r="E5" t="inlineStr">
        <is>
          <t>C</t>
        </is>
      </c>
      <c r="F5" t="n">
        <v>17</v>
      </c>
      <c r="G5" s="4" t="n">
        <v>1</v>
      </c>
      <c r="H5" s="5" t="n"/>
      <c r="I5" s="4" t="n">
        <v>17</v>
      </c>
      <c r="J5" s="6">
        <f>H5*F5</f>
        <v/>
      </c>
      <c r="K5" s="6">
        <f>J5-I5</f>
        <v/>
      </c>
      <c r="L5" s="7">
        <f>IF(I5=0,"",K5/I5)</f>
        <v/>
      </c>
      <c r="M5" s="6">
        <f>IF(ABS(L5)&lt;0.02," 合理",IF(ABS(L5)&lt;0.05," 关注"," 复查"))</f>
        <v/>
      </c>
    </row>
    <row r="6">
      <c r="A6" t="n">
        <v>5</v>
      </c>
      <c r="B6" t="inlineStr">
        <is>
          <t>燃气壁挂炉30KW</t>
        </is>
      </c>
      <c r="C6" t="inlineStr">
        <is>
          <t>甲供</t>
        </is>
      </c>
      <c r="D6" t="inlineStr">
        <is>
          <t>台</t>
        </is>
      </c>
      <c r="E6" t="inlineStr">
        <is>
          <t>D1</t>
        </is>
      </c>
      <c r="F6" t="n">
        <v>34</v>
      </c>
      <c r="G6" s="4" t="n">
        <v>1</v>
      </c>
      <c r="H6" s="5" t="n"/>
      <c r="I6" s="4" t="n">
        <v>34</v>
      </c>
      <c r="J6" s="6">
        <f>H6*F6</f>
        <v/>
      </c>
      <c r="K6" s="6">
        <f>J6-I6</f>
        <v/>
      </c>
      <c r="L6" s="7">
        <f>IF(I6=0,"",K6/I6)</f>
        <v/>
      </c>
      <c r="M6" s="6">
        <f>IF(ABS(L6)&lt;0.02," 合理",IF(ABS(L6)&lt;0.05," 关注"," 复查"))</f>
        <v/>
      </c>
    </row>
    <row r="7">
      <c r="A7" t="n">
        <v>6</v>
      </c>
      <c r="B7" t="inlineStr">
        <is>
          <t>燃气壁挂炉30KW</t>
        </is>
      </c>
      <c r="C7" t="inlineStr">
        <is>
          <t>甲供</t>
        </is>
      </c>
      <c r="D7" t="inlineStr">
        <is>
          <t>台</t>
        </is>
      </c>
      <c r="E7" t="inlineStr">
        <is>
          <t>D2</t>
        </is>
      </c>
      <c r="F7" t="n">
        <v>15</v>
      </c>
      <c r="G7" s="4" t="n">
        <v>1</v>
      </c>
      <c r="H7" s="5" t="n"/>
      <c r="I7" s="4" t="n">
        <v>15</v>
      </c>
      <c r="J7" s="6">
        <f>H7*F7</f>
        <v/>
      </c>
      <c r="K7" s="6">
        <f>J7-I7</f>
        <v/>
      </c>
      <c r="L7" s="7">
        <f>IF(I7=0,"",K7/I7)</f>
        <v/>
      </c>
      <c r="M7" s="6">
        <f>IF(ABS(L7)&lt;0.02," 合理",IF(ABS(L7)&lt;0.05," 关注"," 复查"))</f>
        <v/>
      </c>
    </row>
    <row r="8">
      <c r="A8" t="n">
        <v>7</v>
      </c>
      <c r="B8" t="inlineStr">
        <is>
          <t>燃气壁挂炉30KW</t>
        </is>
      </c>
      <c r="C8" t="inlineStr">
        <is>
          <t>甲供</t>
        </is>
      </c>
      <c r="D8" t="inlineStr">
        <is>
          <t>台</t>
        </is>
      </c>
      <c r="E8" t="inlineStr">
        <is>
          <t>D3</t>
        </is>
      </c>
      <c r="F8" t="n">
        <v>2</v>
      </c>
      <c r="G8" s="4" t="n">
        <v>1</v>
      </c>
      <c r="H8" s="5" t="n"/>
      <c r="I8" s="4" t="n">
        <v>2</v>
      </c>
      <c r="J8" s="6">
        <f>H8*F8</f>
        <v/>
      </c>
      <c r="K8" s="6">
        <f>J8-I8</f>
        <v/>
      </c>
      <c r="L8" s="7">
        <f>IF(I8=0,"",K8/I8)</f>
        <v/>
      </c>
      <c r="M8" s="6">
        <f>IF(ABS(L8)&lt;0.02," 合理",IF(ABS(L8)&lt;0.05," 关注"," 复查"))</f>
        <v/>
      </c>
    </row>
    <row r="9">
      <c r="A9" t="n">
        <v>8</v>
      </c>
      <c r="B9" t="inlineStr">
        <is>
          <t>燃气壁挂炉30KW</t>
        </is>
      </c>
      <c r="C9" t="inlineStr">
        <is>
          <t>甲供</t>
        </is>
      </c>
      <c r="D9" t="inlineStr">
        <is>
          <t>台</t>
        </is>
      </c>
      <c r="E9" t="inlineStr">
        <is>
          <t>D4</t>
        </is>
      </c>
      <c r="F9" t="n">
        <v>2</v>
      </c>
      <c r="G9" s="4" t="n">
        <v>1</v>
      </c>
      <c r="H9" s="5" t="n"/>
      <c r="I9" s="4" t="n">
        <v>2</v>
      </c>
      <c r="J9" s="6">
        <f>H9*F9</f>
        <v/>
      </c>
      <c r="K9" s="6">
        <f>J9-I9</f>
        <v/>
      </c>
      <c r="L9" s="7">
        <f>IF(I9=0,"",K9/I9)</f>
        <v/>
      </c>
      <c r="M9" s="6">
        <f>IF(ABS(L9)&lt;0.02," 合理",IF(ABS(L9)&lt;0.05," 关注"," 复查"))</f>
        <v/>
      </c>
    </row>
    <row r="10">
      <c r="A10" t="n">
        <v>9</v>
      </c>
      <c r="B10" t="inlineStr">
        <is>
          <t>燃气壁挂炉30KW</t>
        </is>
      </c>
      <c r="C10" t="inlineStr">
        <is>
          <t>甲供</t>
        </is>
      </c>
      <c r="D10" t="inlineStr">
        <is>
          <t>台</t>
        </is>
      </c>
      <c r="E10" t="inlineStr">
        <is>
          <t>E</t>
        </is>
      </c>
      <c r="F10" t="n">
        <v>28</v>
      </c>
      <c r="G10" s="4" t="n">
        <v>1</v>
      </c>
      <c r="H10" s="5" t="n"/>
      <c r="I10" s="4" t="n">
        <v>28</v>
      </c>
      <c r="J10" s="6">
        <f>H10*F10</f>
        <v/>
      </c>
      <c r="K10" s="6">
        <f>J10-I10</f>
        <v/>
      </c>
      <c r="L10" s="7">
        <f>IF(I10=0,"",K10/I10)</f>
        <v/>
      </c>
      <c r="M10" s="6">
        <f>IF(ABS(L10)&lt;0.02," 合理",IF(ABS(L10)&lt;0.05," 关注"," 复查"))</f>
        <v/>
      </c>
    </row>
    <row r="11">
      <c r="A11" t="n">
        <v>10</v>
      </c>
      <c r="B11" t="inlineStr">
        <is>
          <t>热水循环泵</t>
        </is>
      </c>
      <c r="C11" t="inlineStr">
        <is>
          <t>乙供</t>
        </is>
      </c>
      <c r="D11" t="inlineStr">
        <is>
          <t>台</t>
        </is>
      </c>
      <c r="E11" t="inlineStr">
        <is>
          <t>A1</t>
        </is>
      </c>
      <c r="F11" t="n">
        <v>34</v>
      </c>
      <c r="G11" s="4" t="n">
        <v>1</v>
      </c>
      <c r="H11" s="5" t="n"/>
      <c r="I11" s="4" t="n">
        <v>34</v>
      </c>
      <c r="J11" s="6">
        <f>H11*F11</f>
        <v/>
      </c>
      <c r="K11" s="6">
        <f>J11-I11</f>
        <v/>
      </c>
      <c r="L11" s="7">
        <f>IF(I11=0,"",K11/I11)</f>
        <v/>
      </c>
      <c r="M11" s="6">
        <f>IF(ABS(L11)&lt;0.02," 合理",IF(ABS(L11)&lt;0.05," 关注"," 复查"))</f>
        <v/>
      </c>
    </row>
    <row r="12">
      <c r="A12" t="n">
        <v>11</v>
      </c>
      <c r="B12" t="inlineStr">
        <is>
          <t>热水循环泵</t>
        </is>
      </c>
      <c r="C12" t="inlineStr">
        <is>
          <t>乙供</t>
        </is>
      </c>
      <c r="D12" t="inlineStr">
        <is>
          <t>台</t>
        </is>
      </c>
      <c r="E12" t="inlineStr">
        <is>
          <t>B1</t>
        </is>
      </c>
      <c r="F12" t="n">
        <v>68</v>
      </c>
      <c r="G12" s="4" t="n">
        <v>1</v>
      </c>
      <c r="H12" s="5" t="n"/>
      <c r="I12" s="4" t="n">
        <v>68</v>
      </c>
      <c r="J12" s="6">
        <f>H12*F12</f>
        <v/>
      </c>
      <c r="K12" s="6">
        <f>J12-I12</f>
        <v/>
      </c>
      <c r="L12" s="7">
        <f>IF(I12=0,"",K12/I12)</f>
        <v/>
      </c>
      <c r="M12" s="6">
        <f>IF(ABS(L12)&lt;0.02," 合理",IF(ABS(L12)&lt;0.05," 关注"," 复查"))</f>
        <v/>
      </c>
    </row>
    <row r="13">
      <c r="A13" t="n">
        <v>12</v>
      </c>
      <c r="B13" t="inlineStr">
        <is>
          <t>热水循环泵</t>
        </is>
      </c>
      <c r="C13" t="inlineStr">
        <is>
          <t>乙供</t>
        </is>
      </c>
      <c r="D13" t="inlineStr">
        <is>
          <t>台</t>
        </is>
      </c>
      <c r="E13" t="inlineStr">
        <is>
          <t>B2</t>
        </is>
      </c>
      <c r="F13" t="n">
        <v>17</v>
      </c>
      <c r="G13" s="4" t="n">
        <v>1</v>
      </c>
      <c r="H13" s="5" t="n"/>
      <c r="I13" s="4" t="n">
        <v>17</v>
      </c>
      <c r="J13" s="6">
        <f>H13*F13</f>
        <v/>
      </c>
      <c r="K13" s="6">
        <f>J13-I13</f>
        <v/>
      </c>
      <c r="L13" s="7">
        <f>IF(I13=0,"",K13/I13)</f>
        <v/>
      </c>
      <c r="M13" s="6">
        <f>IF(ABS(L13)&lt;0.02," 合理",IF(ABS(L13)&lt;0.05," 关注"," 复查"))</f>
        <v/>
      </c>
    </row>
    <row r="14">
      <c r="A14" t="n">
        <v>13</v>
      </c>
      <c r="B14" t="inlineStr">
        <is>
          <t>热水循环泵</t>
        </is>
      </c>
      <c r="C14" t="inlineStr">
        <is>
          <t>乙供</t>
        </is>
      </c>
      <c r="D14" t="inlineStr">
        <is>
          <t>台</t>
        </is>
      </c>
      <c r="E14" t="inlineStr">
        <is>
          <t>C</t>
        </is>
      </c>
      <c r="F14" t="n">
        <v>17</v>
      </c>
      <c r="G14" s="4" t="n">
        <v>1</v>
      </c>
      <c r="H14" s="5" t="n"/>
      <c r="I14" s="4" t="n">
        <v>17</v>
      </c>
      <c r="J14" s="6">
        <f>H14*F14</f>
        <v/>
      </c>
      <c r="K14" s="6">
        <f>J14-I14</f>
        <v/>
      </c>
      <c r="L14" s="7">
        <f>IF(I14=0,"",K14/I14)</f>
        <v/>
      </c>
      <c r="M14" s="6">
        <f>IF(ABS(L14)&lt;0.02," 合理",IF(ABS(L14)&lt;0.05," 关注"," 复查"))</f>
        <v/>
      </c>
    </row>
    <row r="15">
      <c r="A15" t="n">
        <v>14</v>
      </c>
      <c r="B15" t="inlineStr">
        <is>
          <t>热水循环泵</t>
        </is>
      </c>
      <c r="C15" t="inlineStr">
        <is>
          <t>乙供</t>
        </is>
      </c>
      <c r="D15" t="inlineStr">
        <is>
          <t>台</t>
        </is>
      </c>
      <c r="E15" t="inlineStr">
        <is>
          <t>D1</t>
        </is>
      </c>
      <c r="F15" t="n">
        <v>34</v>
      </c>
      <c r="G15" s="4" t="n">
        <v>1</v>
      </c>
      <c r="H15" s="5" t="n"/>
      <c r="I15" s="4" t="n">
        <v>34</v>
      </c>
      <c r="J15" s="6">
        <f>H15*F15</f>
        <v/>
      </c>
      <c r="K15" s="6">
        <f>J15-I15</f>
        <v/>
      </c>
      <c r="L15" s="7">
        <f>IF(I15=0,"",K15/I15)</f>
        <v/>
      </c>
      <c r="M15" s="6">
        <f>IF(ABS(L15)&lt;0.02," 合理",IF(ABS(L15)&lt;0.05," 关注"," 复查"))</f>
        <v/>
      </c>
    </row>
    <row r="16">
      <c r="A16" t="n">
        <v>15</v>
      </c>
      <c r="B16" t="inlineStr">
        <is>
          <t>热水循环泵</t>
        </is>
      </c>
      <c r="C16" t="inlineStr">
        <is>
          <t>乙供</t>
        </is>
      </c>
      <c r="D16" t="inlineStr">
        <is>
          <t>台</t>
        </is>
      </c>
      <c r="E16" t="inlineStr">
        <is>
          <t>D2</t>
        </is>
      </c>
      <c r="F16" t="n">
        <v>15</v>
      </c>
      <c r="G16" s="4" t="n">
        <v>1</v>
      </c>
      <c r="H16" s="5" t="n"/>
      <c r="I16" s="4" t="n">
        <v>15</v>
      </c>
      <c r="J16" s="6">
        <f>H16*F16</f>
        <v/>
      </c>
      <c r="K16" s="6">
        <f>J16-I16</f>
        <v/>
      </c>
      <c r="L16" s="7">
        <f>IF(I16=0,"",K16/I16)</f>
        <v/>
      </c>
      <c r="M16" s="6">
        <f>IF(ABS(L16)&lt;0.02," 合理",IF(ABS(L16)&lt;0.05," 关注"," 复查"))</f>
        <v/>
      </c>
    </row>
    <row r="17">
      <c r="A17" t="n">
        <v>16</v>
      </c>
      <c r="B17" t="inlineStr">
        <is>
          <t>热水循环泵</t>
        </is>
      </c>
      <c r="C17" t="inlineStr">
        <is>
          <t>乙供</t>
        </is>
      </c>
      <c r="D17" t="inlineStr">
        <is>
          <t>台</t>
        </is>
      </c>
      <c r="E17" t="inlineStr">
        <is>
          <t>D3</t>
        </is>
      </c>
      <c r="F17" t="n">
        <v>2</v>
      </c>
      <c r="G17" s="4" t="n">
        <v>1</v>
      </c>
      <c r="H17" s="5" t="n"/>
      <c r="I17" s="4" t="n">
        <v>2</v>
      </c>
      <c r="J17" s="6">
        <f>H17*F17</f>
        <v/>
      </c>
      <c r="K17" s="6">
        <f>J17-I17</f>
        <v/>
      </c>
      <c r="L17" s="7">
        <f>IF(I17=0,"",K17/I17)</f>
        <v/>
      </c>
      <c r="M17" s="6">
        <f>IF(ABS(L17)&lt;0.02," 合理",IF(ABS(L17)&lt;0.05," 关注"," 复查"))</f>
        <v/>
      </c>
    </row>
    <row r="18">
      <c r="A18" t="n">
        <v>17</v>
      </c>
      <c r="B18" t="inlineStr">
        <is>
          <t>热水循环泵</t>
        </is>
      </c>
      <c r="C18" t="inlineStr">
        <is>
          <t>乙供</t>
        </is>
      </c>
      <c r="D18" t="inlineStr">
        <is>
          <t>台</t>
        </is>
      </c>
      <c r="E18" t="inlineStr">
        <is>
          <t>D4</t>
        </is>
      </c>
      <c r="F18" t="n">
        <v>2</v>
      </c>
      <c r="G18" s="4" t="n">
        <v>1</v>
      </c>
      <c r="H18" s="5" t="n"/>
      <c r="I18" s="4" t="n">
        <v>2</v>
      </c>
      <c r="J18" s="6">
        <f>H18*F18</f>
        <v/>
      </c>
      <c r="K18" s="6">
        <f>J18-I18</f>
        <v/>
      </c>
      <c r="L18" s="7">
        <f>IF(I18=0,"",K18/I18)</f>
        <v/>
      </c>
      <c r="M18" s="6">
        <f>IF(ABS(L18)&lt;0.02," 合理",IF(ABS(L18)&lt;0.05," 关注"," 复查"))</f>
        <v/>
      </c>
    </row>
    <row r="19">
      <c r="A19" t="n">
        <v>18</v>
      </c>
      <c r="B19" t="inlineStr">
        <is>
          <t>热水循环泵</t>
        </is>
      </c>
      <c r="C19" t="inlineStr">
        <is>
          <t>乙供</t>
        </is>
      </c>
      <c r="D19" t="inlineStr">
        <is>
          <t>台</t>
        </is>
      </c>
      <c r="E19" t="inlineStr">
        <is>
          <t>E</t>
        </is>
      </c>
      <c r="F19" t="n">
        <v>28</v>
      </c>
      <c r="G19" s="4" t="n">
        <v>1</v>
      </c>
      <c r="H19" s="5" t="n"/>
      <c r="I19" s="4" t="n">
        <v>28</v>
      </c>
      <c r="J19" s="6">
        <f>H19*F19</f>
        <v/>
      </c>
      <c r="K19" s="6">
        <f>J19-I19</f>
        <v/>
      </c>
      <c r="L19" s="7">
        <f>IF(I19=0,"",K19/I19)</f>
        <v/>
      </c>
      <c r="M19" s="6">
        <f>IF(ABS(L19)&lt;0.02," 合理",IF(ABS(L19)&lt;0.05," 关注"," 复查"))</f>
        <v/>
      </c>
    </row>
    <row r="20">
      <c r="A20" t="n">
        <v>19</v>
      </c>
      <c r="B20" t="inlineStr">
        <is>
          <t>温控分集水器6路</t>
        </is>
      </c>
      <c r="C20" t="inlineStr">
        <is>
          <t>乙供</t>
        </is>
      </c>
      <c r="D20" t="inlineStr">
        <is>
          <t>套</t>
        </is>
      </c>
      <c r="E20" t="inlineStr">
        <is>
          <t>A1</t>
        </is>
      </c>
      <c r="F20" t="n">
        <v>34</v>
      </c>
      <c r="G20" s="4" t="n">
        <v>1</v>
      </c>
      <c r="H20" s="5" t="n"/>
      <c r="I20" s="4" t="n">
        <v>34</v>
      </c>
      <c r="J20" s="6">
        <f>H20*F20</f>
        <v/>
      </c>
      <c r="K20" s="6">
        <f>J20-I20</f>
        <v/>
      </c>
      <c r="L20" s="7">
        <f>IF(I20=0,"",K20/I20)</f>
        <v/>
      </c>
      <c r="M20" s="6">
        <f>IF(ABS(L20)&lt;0.02," 合理",IF(ABS(L20)&lt;0.05," 关注"," 复查"))</f>
        <v/>
      </c>
    </row>
    <row r="21">
      <c r="A21" t="n">
        <v>20</v>
      </c>
      <c r="B21" t="inlineStr">
        <is>
          <t>温控分集水器6路</t>
        </is>
      </c>
      <c r="C21" t="inlineStr">
        <is>
          <t>乙供</t>
        </is>
      </c>
      <c r="D21" t="inlineStr">
        <is>
          <t>套</t>
        </is>
      </c>
      <c r="E21" t="inlineStr">
        <is>
          <t>B1</t>
        </is>
      </c>
      <c r="F21" t="n">
        <v>68</v>
      </c>
      <c r="G21" s="4" t="n">
        <v>1</v>
      </c>
      <c r="H21" s="5" t="n"/>
      <c r="I21" s="4" t="n">
        <v>68</v>
      </c>
      <c r="J21" s="6">
        <f>H21*F21</f>
        <v/>
      </c>
      <c r="K21" s="6">
        <f>J21-I21</f>
        <v/>
      </c>
      <c r="L21" s="7">
        <f>IF(I21=0,"",K21/I21)</f>
        <v/>
      </c>
      <c r="M21" s="6">
        <f>IF(ABS(L21)&lt;0.02," 合理",IF(ABS(L21)&lt;0.05," 关注"," 复查"))</f>
        <v/>
      </c>
    </row>
    <row r="22">
      <c r="A22" t="n">
        <v>21</v>
      </c>
      <c r="B22" t="inlineStr">
        <is>
          <t>温控分集水器6路</t>
        </is>
      </c>
      <c r="C22" t="inlineStr">
        <is>
          <t>乙供</t>
        </is>
      </c>
      <c r="D22" t="inlineStr">
        <is>
          <t>套</t>
        </is>
      </c>
      <c r="E22" t="inlineStr">
        <is>
          <t>B2</t>
        </is>
      </c>
      <c r="F22" t="n">
        <v>17</v>
      </c>
      <c r="G22" s="4" t="n">
        <v>1</v>
      </c>
      <c r="H22" s="5" t="n"/>
      <c r="I22" s="4" t="n">
        <v>17</v>
      </c>
      <c r="J22" s="6">
        <f>H22*F22</f>
        <v/>
      </c>
      <c r="K22" s="6">
        <f>J22-I22</f>
        <v/>
      </c>
      <c r="L22" s="7">
        <f>IF(I22=0,"",K22/I22)</f>
        <v/>
      </c>
      <c r="M22" s="6">
        <f>IF(ABS(L22)&lt;0.02," 合理",IF(ABS(L22)&lt;0.05," 关注"," 复查"))</f>
        <v/>
      </c>
    </row>
    <row r="23">
      <c r="A23" t="n">
        <v>22</v>
      </c>
      <c r="B23" t="inlineStr">
        <is>
          <t>温控分集水器7路</t>
        </is>
      </c>
      <c r="C23" t="inlineStr">
        <is>
          <t>乙供</t>
        </is>
      </c>
      <c r="D23" t="inlineStr">
        <is>
          <t>套</t>
        </is>
      </c>
      <c r="E23" t="inlineStr">
        <is>
          <t>C</t>
        </is>
      </c>
      <c r="F23" t="n">
        <v>17</v>
      </c>
      <c r="G23" s="4" t="n">
        <v>1</v>
      </c>
      <c r="H23" s="5" t="n"/>
      <c r="I23" s="4" t="n">
        <v>17</v>
      </c>
      <c r="J23" s="6">
        <f>H23*F23</f>
        <v/>
      </c>
      <c r="K23" s="6">
        <f>J23-I23</f>
        <v/>
      </c>
      <c r="L23" s="7">
        <f>IF(I23=0,"",K23/I23)</f>
        <v/>
      </c>
      <c r="M23" s="6">
        <f>IF(ABS(L23)&lt;0.02," 合理",IF(ABS(L23)&lt;0.05," 关注"," 复查"))</f>
        <v/>
      </c>
    </row>
    <row r="24">
      <c r="A24" t="n">
        <v>23</v>
      </c>
      <c r="B24" t="inlineStr">
        <is>
          <t>温控分集水器9路</t>
        </is>
      </c>
      <c r="C24" t="inlineStr">
        <is>
          <t>乙供</t>
        </is>
      </c>
      <c r="D24" t="inlineStr">
        <is>
          <t>套</t>
        </is>
      </c>
      <c r="E24" t="inlineStr">
        <is>
          <t>D1</t>
        </is>
      </c>
      <c r="F24" t="n">
        <v>34</v>
      </c>
      <c r="G24" s="4" t="n">
        <v>1</v>
      </c>
      <c r="H24" s="5" t="n"/>
      <c r="I24" s="4" t="n">
        <v>34</v>
      </c>
      <c r="J24" s="6">
        <f>H24*F24</f>
        <v/>
      </c>
      <c r="K24" s="6">
        <f>J24-I24</f>
        <v/>
      </c>
      <c r="L24" s="7">
        <f>IF(I24=0,"",K24/I24)</f>
        <v/>
      </c>
      <c r="M24" s="6">
        <f>IF(ABS(L24)&lt;0.02," 合理",IF(ABS(L24)&lt;0.05," 关注"," 复查"))</f>
        <v/>
      </c>
    </row>
    <row r="25">
      <c r="A25" t="n">
        <v>24</v>
      </c>
      <c r="B25" t="inlineStr">
        <is>
          <t>温控分集水器9路</t>
        </is>
      </c>
      <c r="C25" t="inlineStr">
        <is>
          <t>乙供</t>
        </is>
      </c>
      <c r="D25" t="inlineStr">
        <is>
          <t>套</t>
        </is>
      </c>
      <c r="E25" t="inlineStr">
        <is>
          <t>D2</t>
        </is>
      </c>
      <c r="F25" t="n">
        <v>15</v>
      </c>
      <c r="G25" s="4" t="n">
        <v>1</v>
      </c>
      <c r="H25" s="5" t="n"/>
      <c r="I25" s="4" t="n">
        <v>15</v>
      </c>
      <c r="J25" s="6">
        <f>H25*F25</f>
        <v/>
      </c>
      <c r="K25" s="6">
        <f>J25-I25</f>
        <v/>
      </c>
      <c r="L25" s="7">
        <f>IF(I25=0,"",K25/I25)</f>
        <v/>
      </c>
      <c r="M25" s="6">
        <f>IF(ABS(L25)&lt;0.02," 合理",IF(ABS(L25)&lt;0.05," 关注"," 复查"))</f>
        <v/>
      </c>
    </row>
    <row r="26">
      <c r="A26" t="n">
        <v>25</v>
      </c>
      <c r="B26" t="inlineStr">
        <is>
          <t>温控分集水器9路</t>
        </is>
      </c>
      <c r="C26" t="inlineStr">
        <is>
          <t>乙供</t>
        </is>
      </c>
      <c r="D26" t="inlineStr">
        <is>
          <t>套</t>
        </is>
      </c>
      <c r="E26" t="inlineStr">
        <is>
          <t>D3</t>
        </is>
      </c>
      <c r="F26" t="n">
        <v>2</v>
      </c>
      <c r="G26" s="4" t="n">
        <v>1</v>
      </c>
      <c r="H26" s="5" t="n"/>
      <c r="I26" s="4" t="n">
        <v>2</v>
      </c>
      <c r="J26" s="6">
        <f>H26*F26</f>
        <v/>
      </c>
      <c r="K26" s="6">
        <f>J26-I26</f>
        <v/>
      </c>
      <c r="L26" s="7">
        <f>IF(I26=0,"",K26/I26)</f>
        <v/>
      </c>
      <c r="M26" s="6">
        <f>IF(ABS(L26)&lt;0.02," 合理",IF(ABS(L26)&lt;0.05," 关注"," 复查"))</f>
        <v/>
      </c>
    </row>
    <row r="27">
      <c r="A27" t="n">
        <v>26</v>
      </c>
      <c r="B27" t="inlineStr">
        <is>
          <t>温控分集水器9路</t>
        </is>
      </c>
      <c r="C27" t="inlineStr">
        <is>
          <t>乙供</t>
        </is>
      </c>
      <c r="D27" t="inlineStr">
        <is>
          <t>套</t>
        </is>
      </c>
      <c r="E27" t="inlineStr">
        <is>
          <t>D4</t>
        </is>
      </c>
      <c r="F27" t="n">
        <v>2</v>
      </c>
      <c r="G27" s="4" t="n">
        <v>1</v>
      </c>
      <c r="H27" s="5" t="n"/>
      <c r="I27" s="4" t="n">
        <v>2</v>
      </c>
      <c r="J27" s="6">
        <f>H27*F27</f>
        <v/>
      </c>
      <c r="K27" s="6">
        <f>J27-I27</f>
        <v/>
      </c>
      <c r="L27" s="7">
        <f>IF(I27=0,"",K27/I27)</f>
        <v/>
      </c>
      <c r="M27" s="6">
        <f>IF(ABS(L27)&lt;0.02," 合理",IF(ABS(L27)&lt;0.05," 关注"," 复查"))</f>
        <v/>
      </c>
    </row>
    <row r="28">
      <c r="A28" t="n">
        <v>27</v>
      </c>
      <c r="B28" t="inlineStr">
        <is>
          <t>温控分集水器9路</t>
        </is>
      </c>
      <c r="C28" t="inlineStr">
        <is>
          <t>乙供</t>
        </is>
      </c>
      <c r="D28" t="inlineStr">
        <is>
          <t>套</t>
        </is>
      </c>
      <c r="E28" t="inlineStr">
        <is>
          <t>E</t>
        </is>
      </c>
      <c r="F28" t="n">
        <v>28</v>
      </c>
      <c r="G28" s="4" t="n">
        <v>1</v>
      </c>
      <c r="H28" s="5" t="n"/>
      <c r="I28" s="4" t="n">
        <v>28</v>
      </c>
      <c r="J28" s="6">
        <f>H28*F28</f>
        <v/>
      </c>
      <c r="K28" s="6">
        <f>J28-I28</f>
        <v/>
      </c>
      <c r="L28" s="7">
        <f>IF(I28=0,"",K28/I28)</f>
        <v/>
      </c>
      <c r="M28" s="6">
        <f>IF(ABS(L28)&lt;0.02," 合理",IF(ABS(L28)&lt;0.05," 关注"," 复查"))</f>
        <v/>
      </c>
    </row>
    <row r="29">
      <c r="A29" t="n">
        <v>28</v>
      </c>
      <c r="B29" t="inlineStr">
        <is>
          <t>分集水器底盒5-6路</t>
        </is>
      </c>
      <c r="C29" t="inlineStr">
        <is>
          <t>乙供</t>
        </is>
      </c>
      <c r="D29" t="inlineStr">
        <is>
          <t>个</t>
        </is>
      </c>
      <c r="E29" t="inlineStr">
        <is>
          <t>A1</t>
        </is>
      </c>
      <c r="F29" t="n">
        <v>34</v>
      </c>
      <c r="G29" s="4" t="n">
        <v>1</v>
      </c>
      <c r="H29" s="5" t="n"/>
      <c r="I29" s="4" t="n">
        <v>34</v>
      </c>
      <c r="J29" s="6">
        <f>H29*F29</f>
        <v/>
      </c>
      <c r="K29" s="6">
        <f>J29-I29</f>
        <v/>
      </c>
      <c r="L29" s="7">
        <f>IF(I29=0,"",K29/I29)</f>
        <v/>
      </c>
      <c r="M29" s="6">
        <f>IF(ABS(L29)&lt;0.02," 合理",IF(ABS(L29)&lt;0.05," 关注"," 复查"))</f>
        <v/>
      </c>
    </row>
    <row r="30">
      <c r="A30" t="n">
        <v>29</v>
      </c>
      <c r="B30" t="inlineStr">
        <is>
          <t>分集水器底盒5-6路</t>
        </is>
      </c>
      <c r="C30" t="inlineStr">
        <is>
          <t>乙供</t>
        </is>
      </c>
      <c r="D30" t="inlineStr">
        <is>
          <t>个</t>
        </is>
      </c>
      <c r="E30" t="inlineStr">
        <is>
          <t>B1</t>
        </is>
      </c>
      <c r="F30" t="n">
        <v>68</v>
      </c>
      <c r="G30" s="4" t="n">
        <v>1</v>
      </c>
      <c r="H30" s="5" t="n"/>
      <c r="I30" s="4" t="n">
        <v>68</v>
      </c>
      <c r="J30" s="6">
        <f>H30*F30</f>
        <v/>
      </c>
      <c r="K30" s="6">
        <f>J30-I30</f>
        <v/>
      </c>
      <c r="L30" s="7">
        <f>IF(I30=0,"",K30/I30)</f>
        <v/>
      </c>
      <c r="M30" s="6">
        <f>IF(ABS(L30)&lt;0.02," 合理",IF(ABS(L30)&lt;0.05," 关注"," 复查"))</f>
        <v/>
      </c>
    </row>
    <row r="31">
      <c r="A31" t="n">
        <v>30</v>
      </c>
      <c r="B31" t="inlineStr">
        <is>
          <t>分集水器底盒5-6路</t>
        </is>
      </c>
      <c r="C31" t="inlineStr">
        <is>
          <t>乙供</t>
        </is>
      </c>
      <c r="D31" t="inlineStr">
        <is>
          <t>个</t>
        </is>
      </c>
      <c r="E31" t="inlineStr">
        <is>
          <t>B2</t>
        </is>
      </c>
      <c r="F31" t="n">
        <v>17</v>
      </c>
      <c r="G31" s="4" t="n">
        <v>1</v>
      </c>
      <c r="H31" s="5" t="n"/>
      <c r="I31" s="4" t="n">
        <v>17</v>
      </c>
      <c r="J31" s="6">
        <f>H31*F31</f>
        <v/>
      </c>
      <c r="K31" s="6">
        <f>J31-I31</f>
        <v/>
      </c>
      <c r="L31" s="7">
        <f>IF(I31=0,"",K31/I31)</f>
        <v/>
      </c>
      <c r="M31" s="6">
        <f>IF(ABS(L31)&lt;0.02," 合理",IF(ABS(L31)&lt;0.05," 关注"," 复查"))</f>
        <v/>
      </c>
    </row>
    <row r="32">
      <c r="A32" t="n">
        <v>31</v>
      </c>
      <c r="B32" t="inlineStr">
        <is>
          <t>分集水器底盒5-6路</t>
        </is>
      </c>
      <c r="C32" t="inlineStr">
        <is>
          <t>乙供</t>
        </is>
      </c>
      <c r="D32" t="inlineStr">
        <is>
          <t>个</t>
        </is>
      </c>
      <c r="E32" t="inlineStr">
        <is>
          <t>C</t>
        </is>
      </c>
      <c r="F32" t="n">
        <v>17</v>
      </c>
      <c r="G32" s="4" t="n">
        <v>1</v>
      </c>
      <c r="H32" s="5" t="n"/>
      <c r="I32" s="4" t="n">
        <v>17</v>
      </c>
      <c r="J32" s="6">
        <f>H32*F32</f>
        <v/>
      </c>
      <c r="K32" s="6">
        <f>J32-I32</f>
        <v/>
      </c>
      <c r="L32" s="7">
        <f>IF(I32=0,"",K32/I32)</f>
        <v/>
      </c>
      <c r="M32" s="6">
        <f>IF(ABS(L32)&lt;0.02," 合理",IF(ABS(L32)&lt;0.05," 关注"," 复查"))</f>
        <v/>
      </c>
    </row>
    <row r="33">
      <c r="A33" t="n">
        <v>32</v>
      </c>
      <c r="B33" t="inlineStr">
        <is>
          <t>分集水器底盒7-9路</t>
        </is>
      </c>
      <c r="C33" t="inlineStr">
        <is>
          <t>乙供</t>
        </is>
      </c>
      <c r="D33" t="inlineStr">
        <is>
          <t>个</t>
        </is>
      </c>
      <c r="E33" t="inlineStr">
        <is>
          <t>D1</t>
        </is>
      </c>
      <c r="F33" t="n">
        <v>34</v>
      </c>
      <c r="G33" s="4" t="n">
        <v>1</v>
      </c>
      <c r="H33" s="5" t="n"/>
      <c r="I33" s="4" t="n">
        <v>34</v>
      </c>
      <c r="J33" s="6">
        <f>H33*F33</f>
        <v/>
      </c>
      <c r="K33" s="6">
        <f>J33-I33</f>
        <v/>
      </c>
      <c r="L33" s="7">
        <f>IF(I33=0,"",K33/I33)</f>
        <v/>
      </c>
      <c r="M33" s="6">
        <f>IF(ABS(L33)&lt;0.02," 合理",IF(ABS(L33)&lt;0.05," 关注"," 复查"))</f>
        <v/>
      </c>
    </row>
    <row r="34">
      <c r="A34" t="n">
        <v>33</v>
      </c>
      <c r="B34" t="inlineStr">
        <is>
          <t>分集水器底盒7-9路</t>
        </is>
      </c>
      <c r="C34" t="inlineStr">
        <is>
          <t>乙供</t>
        </is>
      </c>
      <c r="D34" t="inlineStr">
        <is>
          <t>个</t>
        </is>
      </c>
      <c r="E34" t="inlineStr">
        <is>
          <t>D2</t>
        </is>
      </c>
      <c r="F34" t="n">
        <v>15</v>
      </c>
      <c r="G34" s="4" t="n">
        <v>1</v>
      </c>
      <c r="H34" s="5" t="n"/>
      <c r="I34" s="4" t="n">
        <v>15</v>
      </c>
      <c r="J34" s="6">
        <f>H34*F34</f>
        <v/>
      </c>
      <c r="K34" s="6">
        <f>J34-I34</f>
        <v/>
      </c>
      <c r="L34" s="7">
        <f>IF(I34=0,"",K34/I34)</f>
        <v/>
      </c>
      <c r="M34" s="6">
        <f>IF(ABS(L34)&lt;0.02," 合理",IF(ABS(L34)&lt;0.05," 关注"," 复查"))</f>
        <v/>
      </c>
    </row>
    <row r="35">
      <c r="A35" t="n">
        <v>34</v>
      </c>
      <c r="B35" t="inlineStr">
        <is>
          <t>分集水器底盒7-9路</t>
        </is>
      </c>
      <c r="C35" t="inlineStr">
        <is>
          <t>乙供</t>
        </is>
      </c>
      <c r="D35" t="inlineStr">
        <is>
          <t>个</t>
        </is>
      </c>
      <c r="E35" t="inlineStr">
        <is>
          <t>D3</t>
        </is>
      </c>
      <c r="F35" t="n">
        <v>2</v>
      </c>
      <c r="G35" s="4" t="n">
        <v>1</v>
      </c>
      <c r="H35" s="5" t="n"/>
      <c r="I35" s="4" t="n">
        <v>2</v>
      </c>
      <c r="J35" s="6">
        <f>H35*F35</f>
        <v/>
      </c>
      <c r="K35" s="6">
        <f>J35-I35</f>
        <v/>
      </c>
      <c r="L35" s="7">
        <f>IF(I35=0,"",K35/I35)</f>
        <v/>
      </c>
      <c r="M35" s="6">
        <f>IF(ABS(L35)&lt;0.02," 合理",IF(ABS(L35)&lt;0.05," 关注"," 复查"))</f>
        <v/>
      </c>
    </row>
    <row r="36">
      <c r="A36" t="n">
        <v>35</v>
      </c>
      <c r="B36" t="inlineStr">
        <is>
          <t>分集水器底盒7-9路</t>
        </is>
      </c>
      <c r="C36" t="inlineStr">
        <is>
          <t>乙供</t>
        </is>
      </c>
      <c r="D36" t="inlineStr">
        <is>
          <t>个</t>
        </is>
      </c>
      <c r="E36" t="inlineStr">
        <is>
          <t>D4</t>
        </is>
      </c>
      <c r="F36" t="n">
        <v>2</v>
      </c>
      <c r="G36" s="4" t="n">
        <v>1</v>
      </c>
      <c r="H36" s="5" t="n"/>
      <c r="I36" s="4" t="n">
        <v>2</v>
      </c>
      <c r="J36" s="6">
        <f>H36*F36</f>
        <v/>
      </c>
      <c r="K36" s="6">
        <f>J36-I36</f>
        <v/>
      </c>
      <c r="L36" s="7">
        <f>IF(I36=0,"",K36/I36)</f>
        <v/>
      </c>
      <c r="M36" s="6">
        <f>IF(ABS(L36)&lt;0.02," 合理",IF(ABS(L36)&lt;0.05," 关注"," 复查"))</f>
        <v/>
      </c>
    </row>
    <row r="37">
      <c r="A37" t="n">
        <v>36</v>
      </c>
      <c r="B37" t="inlineStr">
        <is>
          <t>分集水器底盒7-9路</t>
        </is>
      </c>
      <c r="C37" t="inlineStr">
        <is>
          <t>乙供</t>
        </is>
      </c>
      <c r="D37" t="inlineStr">
        <is>
          <t>个</t>
        </is>
      </c>
      <c r="E37" t="inlineStr">
        <is>
          <t>E</t>
        </is>
      </c>
      <c r="F37" t="n">
        <v>28</v>
      </c>
      <c r="G37" s="4" t="n">
        <v>1</v>
      </c>
      <c r="H37" s="5" t="n"/>
      <c r="I37" s="4" t="n">
        <v>28</v>
      </c>
      <c r="J37" s="6">
        <f>H37*F37</f>
        <v/>
      </c>
      <c r="K37" s="6">
        <f>J37-I37</f>
        <v/>
      </c>
      <c r="L37" s="7">
        <f>IF(I37=0,"",K37/I37)</f>
        <v/>
      </c>
      <c r="M37" s="6">
        <f>IF(ABS(L37)&lt;0.02," 合理",IF(ABS(L37)&lt;0.05," 关注"," 复查"))</f>
        <v/>
      </c>
    </row>
    <row r="38">
      <c r="A38" t="n">
        <v>37</v>
      </c>
      <c r="B38" t="inlineStr">
        <is>
          <t>电热执行器(常开型)</t>
        </is>
      </c>
      <c r="C38" t="inlineStr">
        <is>
          <t>乙供</t>
        </is>
      </c>
      <c r="D38" t="inlineStr">
        <is>
          <t>个</t>
        </is>
      </c>
      <c r="E38" t="inlineStr">
        <is>
          <t>A1</t>
        </is>
      </c>
      <c r="F38" t="n">
        <v>34</v>
      </c>
      <c r="G38" s="4" t="n">
        <v>6</v>
      </c>
      <c r="H38" s="5" t="n"/>
      <c r="I38" s="4" t="n">
        <v>204</v>
      </c>
      <c r="J38" s="6">
        <f>H38*F38</f>
        <v/>
      </c>
      <c r="K38" s="6">
        <f>J38-I38</f>
        <v/>
      </c>
      <c r="L38" s="7">
        <f>IF(I38=0,"",K38/I38)</f>
        <v/>
      </c>
      <c r="M38" s="6">
        <f>IF(ABS(L38)&lt;0.02," 合理",IF(ABS(L38)&lt;0.05," 关注"," 复查"))</f>
        <v/>
      </c>
    </row>
    <row r="39">
      <c r="A39" t="n">
        <v>38</v>
      </c>
      <c r="B39" t="inlineStr">
        <is>
          <t>电热执行器(常开型)</t>
        </is>
      </c>
      <c r="C39" t="inlineStr">
        <is>
          <t>乙供</t>
        </is>
      </c>
      <c r="D39" t="inlineStr">
        <is>
          <t>个</t>
        </is>
      </c>
      <c r="E39" t="inlineStr">
        <is>
          <t>B1</t>
        </is>
      </c>
      <c r="F39" t="n">
        <v>68</v>
      </c>
      <c r="G39" s="4" t="n">
        <v>6</v>
      </c>
      <c r="H39" s="5" t="n"/>
      <c r="I39" s="4" t="n">
        <v>408</v>
      </c>
      <c r="J39" s="6">
        <f>H39*F39</f>
        <v/>
      </c>
      <c r="K39" s="6">
        <f>J39-I39</f>
        <v/>
      </c>
      <c r="L39" s="7">
        <f>IF(I39=0,"",K39/I39)</f>
        <v/>
      </c>
      <c r="M39" s="6">
        <f>IF(ABS(L39)&lt;0.02," 合理",IF(ABS(L39)&lt;0.05," 关注"," 复查"))</f>
        <v/>
      </c>
    </row>
    <row r="40">
      <c r="A40" t="n">
        <v>39</v>
      </c>
      <c r="B40" t="inlineStr">
        <is>
          <t>电热执行器(常开型)</t>
        </is>
      </c>
      <c r="C40" t="inlineStr">
        <is>
          <t>乙供</t>
        </is>
      </c>
      <c r="D40" t="inlineStr">
        <is>
          <t>个</t>
        </is>
      </c>
      <c r="E40" t="inlineStr">
        <is>
          <t>B2</t>
        </is>
      </c>
      <c r="F40" t="n">
        <v>17</v>
      </c>
      <c r="G40" s="4" t="n">
        <v>6</v>
      </c>
      <c r="H40" s="5" t="n"/>
      <c r="I40" s="4" t="n">
        <v>102</v>
      </c>
      <c r="J40" s="6">
        <f>H40*F40</f>
        <v/>
      </c>
      <c r="K40" s="6">
        <f>J40-I40</f>
        <v/>
      </c>
      <c r="L40" s="7">
        <f>IF(I40=0,"",K40/I40)</f>
        <v/>
      </c>
      <c r="M40" s="6">
        <f>IF(ABS(L40)&lt;0.02," 合理",IF(ABS(L40)&lt;0.05," 关注"," 复查"))</f>
        <v/>
      </c>
    </row>
    <row r="41">
      <c r="A41" t="n">
        <v>40</v>
      </c>
      <c r="B41" t="inlineStr">
        <is>
          <t>电热执行器(常开型)</t>
        </is>
      </c>
      <c r="C41" t="inlineStr">
        <is>
          <t>乙供</t>
        </is>
      </c>
      <c r="D41" t="inlineStr">
        <is>
          <t>个</t>
        </is>
      </c>
      <c r="E41" t="inlineStr">
        <is>
          <t>C</t>
        </is>
      </c>
      <c r="F41" t="n">
        <v>17</v>
      </c>
      <c r="G41" s="4" t="n">
        <v>7</v>
      </c>
      <c r="H41" s="5" t="n"/>
      <c r="I41" s="4" t="n">
        <v>119</v>
      </c>
      <c r="J41" s="6">
        <f>H41*F41</f>
        <v/>
      </c>
      <c r="K41" s="6">
        <f>J41-I41</f>
        <v/>
      </c>
      <c r="L41" s="7">
        <f>IF(I41=0,"",K41/I41)</f>
        <v/>
      </c>
      <c r="M41" s="6">
        <f>IF(ABS(L41)&lt;0.02," 合理",IF(ABS(L41)&lt;0.05," 关注"," 复查"))</f>
        <v/>
      </c>
    </row>
    <row r="42">
      <c r="A42" t="n">
        <v>41</v>
      </c>
      <c r="B42" t="inlineStr">
        <is>
          <t>电热执行器(常开型)</t>
        </is>
      </c>
      <c r="C42" t="inlineStr">
        <is>
          <t>乙供</t>
        </is>
      </c>
      <c r="D42" t="inlineStr">
        <is>
          <t>个</t>
        </is>
      </c>
      <c r="E42" t="inlineStr">
        <is>
          <t>D1</t>
        </is>
      </c>
      <c r="F42" t="n">
        <v>34</v>
      </c>
      <c r="G42" s="4" t="n">
        <v>9</v>
      </c>
      <c r="H42" s="5" t="n"/>
      <c r="I42" s="4" t="n">
        <v>306</v>
      </c>
      <c r="J42" s="6">
        <f>H42*F42</f>
        <v/>
      </c>
      <c r="K42" s="6">
        <f>J42-I42</f>
        <v/>
      </c>
      <c r="L42" s="7">
        <f>IF(I42=0,"",K42/I42)</f>
        <v/>
      </c>
      <c r="M42" s="6">
        <f>IF(ABS(L42)&lt;0.02," 合理",IF(ABS(L42)&lt;0.05," 关注"," 复查"))</f>
        <v/>
      </c>
    </row>
    <row r="43">
      <c r="A43" t="n">
        <v>42</v>
      </c>
      <c r="B43" t="inlineStr">
        <is>
          <t>电热执行器(常开型)</t>
        </is>
      </c>
      <c r="C43" t="inlineStr">
        <is>
          <t>乙供</t>
        </is>
      </c>
      <c r="D43" t="inlineStr">
        <is>
          <t>个</t>
        </is>
      </c>
      <c r="E43" t="inlineStr">
        <is>
          <t>D2</t>
        </is>
      </c>
      <c r="F43" t="n">
        <v>15</v>
      </c>
      <c r="G43" s="4" t="n">
        <v>9</v>
      </c>
      <c r="H43" s="5" t="n"/>
      <c r="I43" s="4" t="n">
        <v>135</v>
      </c>
      <c r="J43" s="6">
        <f>H43*F43</f>
        <v/>
      </c>
      <c r="K43" s="6">
        <f>J43-I43</f>
        <v/>
      </c>
      <c r="L43" s="7">
        <f>IF(I43=0,"",K43/I43)</f>
        <v/>
      </c>
      <c r="M43" s="6">
        <f>IF(ABS(L43)&lt;0.02," 合理",IF(ABS(L43)&lt;0.05," 关注"," 复查"))</f>
        <v/>
      </c>
    </row>
    <row r="44">
      <c r="A44" t="n">
        <v>43</v>
      </c>
      <c r="B44" t="inlineStr">
        <is>
          <t>电热执行器(常开型)</t>
        </is>
      </c>
      <c r="C44" t="inlineStr">
        <is>
          <t>乙供</t>
        </is>
      </c>
      <c r="D44" t="inlineStr">
        <is>
          <t>个</t>
        </is>
      </c>
      <c r="E44" t="inlineStr">
        <is>
          <t>D3</t>
        </is>
      </c>
      <c r="F44" t="n">
        <v>2</v>
      </c>
      <c r="G44" s="4" t="n">
        <v>9</v>
      </c>
      <c r="H44" s="5" t="n"/>
      <c r="I44" s="4" t="n">
        <v>18</v>
      </c>
      <c r="J44" s="6">
        <f>H44*F44</f>
        <v/>
      </c>
      <c r="K44" s="6">
        <f>J44-I44</f>
        <v/>
      </c>
      <c r="L44" s="7">
        <f>IF(I44=0,"",K44/I44)</f>
        <v/>
      </c>
      <c r="M44" s="6">
        <f>IF(ABS(L44)&lt;0.02," 合理",IF(ABS(L44)&lt;0.05," 关注"," 复查"))</f>
        <v/>
      </c>
    </row>
    <row r="45">
      <c r="A45" t="n">
        <v>44</v>
      </c>
      <c r="B45" t="inlineStr">
        <is>
          <t>电热执行器(常开型)</t>
        </is>
      </c>
      <c r="C45" t="inlineStr">
        <is>
          <t>乙供</t>
        </is>
      </c>
      <c r="D45" t="inlineStr">
        <is>
          <t>个</t>
        </is>
      </c>
      <c r="E45" t="inlineStr">
        <is>
          <t>D4</t>
        </is>
      </c>
      <c r="F45" t="n">
        <v>2</v>
      </c>
      <c r="G45" s="4" t="n">
        <v>9</v>
      </c>
      <c r="H45" s="5" t="n"/>
      <c r="I45" s="4" t="n">
        <v>18</v>
      </c>
      <c r="J45" s="6">
        <f>H45*F45</f>
        <v/>
      </c>
      <c r="K45" s="6">
        <f>J45-I45</f>
        <v/>
      </c>
      <c r="L45" s="7">
        <f>IF(I45=0,"",K45/I45)</f>
        <v/>
      </c>
      <c r="M45" s="6">
        <f>IF(ABS(L45)&lt;0.02," 合理",IF(ABS(L45)&lt;0.05," 关注"," 复查"))</f>
        <v/>
      </c>
    </row>
    <row r="46">
      <c r="A46" t="n">
        <v>45</v>
      </c>
      <c r="B46" t="inlineStr">
        <is>
          <t>电热执行器(常开型)</t>
        </is>
      </c>
      <c r="C46" t="inlineStr">
        <is>
          <t>乙供</t>
        </is>
      </c>
      <c r="D46" t="inlineStr">
        <is>
          <t>个</t>
        </is>
      </c>
      <c r="E46" t="inlineStr">
        <is>
          <t>E</t>
        </is>
      </c>
      <c r="F46" t="n">
        <v>28</v>
      </c>
      <c r="G46" s="4" t="n">
        <v>9</v>
      </c>
      <c r="H46" s="5" t="n"/>
      <c r="I46" s="4" t="n">
        <v>252</v>
      </c>
      <c r="J46" s="6">
        <f>H46*F46</f>
        <v/>
      </c>
      <c r="K46" s="6">
        <f>J46-I46</f>
        <v/>
      </c>
      <c r="L46" s="7">
        <f>IF(I46=0,"",K46/I46)</f>
        <v/>
      </c>
      <c r="M46" s="6">
        <f>IF(ABS(L46)&lt;0.02," 合理",IF(ABS(L46)&lt;0.05," 关注"," 复查"))</f>
        <v/>
      </c>
    </row>
    <row r="47">
      <c r="A47" t="n">
        <v>46</v>
      </c>
      <c r="B47" t="inlineStr">
        <is>
          <t>角阀DN15</t>
        </is>
      </c>
      <c r="C47" t="inlineStr">
        <is>
          <t>乙供</t>
        </is>
      </c>
      <c r="D47" t="inlineStr">
        <is>
          <t>个</t>
        </is>
      </c>
      <c r="E47" t="inlineStr">
        <is>
          <t>A1</t>
        </is>
      </c>
      <c r="F47" t="n">
        <v>34</v>
      </c>
      <c r="G47" s="4" t="n">
        <v>2</v>
      </c>
      <c r="H47" s="5" t="n"/>
      <c r="I47" s="4" t="n">
        <v>68</v>
      </c>
      <c r="J47" s="6">
        <f>H47*F47</f>
        <v/>
      </c>
      <c r="K47" s="6">
        <f>J47-I47</f>
        <v/>
      </c>
      <c r="L47" s="7">
        <f>IF(I47=0,"",K47/I47)</f>
        <v/>
      </c>
      <c r="M47" s="6">
        <f>IF(ABS(L47)&lt;0.02," 合理",IF(ABS(L47)&lt;0.05," 关注"," 复查"))</f>
        <v/>
      </c>
    </row>
    <row r="48">
      <c r="A48" t="n">
        <v>47</v>
      </c>
      <c r="B48" t="inlineStr">
        <is>
          <t>角阀DN15</t>
        </is>
      </c>
      <c r="C48" t="inlineStr">
        <is>
          <t>乙供</t>
        </is>
      </c>
      <c r="D48" t="inlineStr">
        <is>
          <t>个</t>
        </is>
      </c>
      <c r="E48" t="inlineStr">
        <is>
          <t>B1</t>
        </is>
      </c>
      <c r="F48" t="n">
        <v>68</v>
      </c>
      <c r="G48" s="4" t="n">
        <v>2</v>
      </c>
      <c r="H48" s="5" t="n"/>
      <c r="I48" s="4" t="n">
        <v>136</v>
      </c>
      <c r="J48" s="6">
        <f>H48*F48</f>
        <v/>
      </c>
      <c r="K48" s="6">
        <f>J48-I48</f>
        <v/>
      </c>
      <c r="L48" s="7">
        <f>IF(I48=0,"",K48/I48)</f>
        <v/>
      </c>
      <c r="M48" s="6">
        <f>IF(ABS(L48)&lt;0.02," 合理",IF(ABS(L48)&lt;0.05," 关注"," 复查"))</f>
        <v/>
      </c>
    </row>
    <row r="49">
      <c r="A49" t="n">
        <v>48</v>
      </c>
      <c r="B49" t="inlineStr">
        <is>
          <t>角阀DN15</t>
        </is>
      </c>
      <c r="C49" t="inlineStr">
        <is>
          <t>乙供</t>
        </is>
      </c>
      <c r="D49" t="inlineStr">
        <is>
          <t>个</t>
        </is>
      </c>
      <c r="E49" t="inlineStr">
        <is>
          <t>B2</t>
        </is>
      </c>
      <c r="F49" t="n">
        <v>17</v>
      </c>
      <c r="G49" s="4" t="n">
        <v>2</v>
      </c>
      <c r="H49" s="5" t="n"/>
      <c r="I49" s="4" t="n">
        <v>34</v>
      </c>
      <c r="J49" s="6">
        <f>H49*F49</f>
        <v/>
      </c>
      <c r="K49" s="6">
        <f>J49-I49</f>
        <v/>
      </c>
      <c r="L49" s="7">
        <f>IF(I49=0,"",K49/I49)</f>
        <v/>
      </c>
      <c r="M49" s="6">
        <f>IF(ABS(L49)&lt;0.02," 合理",IF(ABS(L49)&lt;0.05," 关注"," 复查"))</f>
        <v/>
      </c>
    </row>
    <row r="50">
      <c r="A50" t="n">
        <v>49</v>
      </c>
      <c r="B50" t="inlineStr">
        <is>
          <t>角阀DN15</t>
        </is>
      </c>
      <c r="C50" t="inlineStr">
        <is>
          <t>乙供</t>
        </is>
      </c>
      <c r="D50" t="inlineStr">
        <is>
          <t>个</t>
        </is>
      </c>
      <c r="E50" t="inlineStr">
        <is>
          <t>C</t>
        </is>
      </c>
      <c r="F50" t="n">
        <v>17</v>
      </c>
      <c r="G50" s="4" t="n">
        <v>2</v>
      </c>
      <c r="H50" s="5" t="n"/>
      <c r="I50" s="4" t="n">
        <v>34</v>
      </c>
      <c r="J50" s="6">
        <f>H50*F50</f>
        <v/>
      </c>
      <c r="K50" s="6">
        <f>J50-I50</f>
        <v/>
      </c>
      <c r="L50" s="7">
        <f>IF(I50=0,"",K50/I50)</f>
        <v/>
      </c>
      <c r="M50" s="6">
        <f>IF(ABS(L50)&lt;0.02," 合理",IF(ABS(L50)&lt;0.05," 关注"," 复查"))</f>
        <v/>
      </c>
    </row>
    <row r="51">
      <c r="A51" t="n">
        <v>50</v>
      </c>
      <c r="B51" t="inlineStr">
        <is>
          <t>角阀DN15</t>
        </is>
      </c>
      <c r="C51" t="inlineStr">
        <is>
          <t>乙供</t>
        </is>
      </c>
      <c r="D51" t="inlineStr">
        <is>
          <t>个</t>
        </is>
      </c>
      <c r="E51" t="inlineStr">
        <is>
          <t>D1</t>
        </is>
      </c>
      <c r="F51" t="n">
        <v>34</v>
      </c>
      <c r="G51" s="4" t="n">
        <v>2</v>
      </c>
      <c r="H51" s="5" t="n"/>
      <c r="I51" s="4" t="n">
        <v>68</v>
      </c>
      <c r="J51" s="6">
        <f>H51*F51</f>
        <v/>
      </c>
      <c r="K51" s="6">
        <f>J51-I51</f>
        <v/>
      </c>
      <c r="L51" s="7">
        <f>IF(I51=0,"",K51/I51)</f>
        <v/>
      </c>
      <c r="M51" s="6">
        <f>IF(ABS(L51)&lt;0.02," 合理",IF(ABS(L51)&lt;0.05," 关注"," 复查"))</f>
        <v/>
      </c>
    </row>
    <row r="52">
      <c r="A52" t="n">
        <v>51</v>
      </c>
      <c r="B52" t="inlineStr">
        <is>
          <t>角阀DN15</t>
        </is>
      </c>
      <c r="C52" t="inlineStr">
        <is>
          <t>乙供</t>
        </is>
      </c>
      <c r="D52" t="inlineStr">
        <is>
          <t>个</t>
        </is>
      </c>
      <c r="E52" t="inlineStr">
        <is>
          <t>D2</t>
        </is>
      </c>
      <c r="F52" t="n">
        <v>15</v>
      </c>
      <c r="G52" s="4" t="n">
        <v>2</v>
      </c>
      <c r="H52" s="5" t="n"/>
      <c r="I52" s="4" t="n">
        <v>30</v>
      </c>
      <c r="J52" s="6">
        <f>H52*F52</f>
        <v/>
      </c>
      <c r="K52" s="6">
        <f>J52-I52</f>
        <v/>
      </c>
      <c r="L52" s="7">
        <f>IF(I52=0,"",K52/I52)</f>
        <v/>
      </c>
      <c r="M52" s="6">
        <f>IF(ABS(L52)&lt;0.02," 合理",IF(ABS(L52)&lt;0.05," 关注"," 复查"))</f>
        <v/>
      </c>
    </row>
    <row r="53">
      <c r="A53" t="n">
        <v>52</v>
      </c>
      <c r="B53" t="inlineStr">
        <is>
          <t>角阀DN15</t>
        </is>
      </c>
      <c r="C53" t="inlineStr">
        <is>
          <t>乙供</t>
        </is>
      </c>
      <c r="D53" t="inlineStr">
        <is>
          <t>个</t>
        </is>
      </c>
      <c r="E53" t="inlineStr">
        <is>
          <t>D3</t>
        </is>
      </c>
      <c r="F53" t="n">
        <v>2</v>
      </c>
      <c r="G53" s="4" t="n">
        <v>2</v>
      </c>
      <c r="H53" s="5" t="n"/>
      <c r="I53" s="4" t="n">
        <v>4</v>
      </c>
      <c r="J53" s="6">
        <f>H53*F53</f>
        <v/>
      </c>
      <c r="K53" s="6">
        <f>J53-I53</f>
        <v/>
      </c>
      <c r="L53" s="7">
        <f>IF(I53=0,"",K53/I53)</f>
        <v/>
      </c>
      <c r="M53" s="6">
        <f>IF(ABS(L53)&lt;0.02," 合理",IF(ABS(L53)&lt;0.05," 关注"," 复查"))</f>
        <v/>
      </c>
    </row>
    <row r="54">
      <c r="A54" t="n">
        <v>53</v>
      </c>
      <c r="B54" t="inlineStr">
        <is>
          <t>角阀DN15</t>
        </is>
      </c>
      <c r="C54" t="inlineStr">
        <is>
          <t>乙供</t>
        </is>
      </c>
      <c r="D54" t="inlineStr">
        <is>
          <t>个</t>
        </is>
      </c>
      <c r="E54" t="inlineStr">
        <is>
          <t>D4</t>
        </is>
      </c>
      <c r="F54" t="n">
        <v>2</v>
      </c>
      <c r="G54" s="4" t="n">
        <v>2</v>
      </c>
      <c r="H54" s="5" t="n"/>
      <c r="I54" s="4" t="n">
        <v>4</v>
      </c>
      <c r="J54" s="6">
        <f>H54*F54</f>
        <v/>
      </c>
      <c r="K54" s="6">
        <f>J54-I54</f>
        <v/>
      </c>
      <c r="L54" s="7">
        <f>IF(I54=0,"",K54/I54)</f>
        <v/>
      </c>
      <c r="M54" s="6">
        <f>IF(ABS(L54)&lt;0.02," 合理",IF(ABS(L54)&lt;0.05," 关注"," 复查"))</f>
        <v/>
      </c>
    </row>
    <row r="55">
      <c r="A55" t="n">
        <v>54</v>
      </c>
      <c r="B55" t="inlineStr">
        <is>
          <t>角阀DN15</t>
        </is>
      </c>
      <c r="C55" t="inlineStr">
        <is>
          <t>乙供</t>
        </is>
      </c>
      <c r="D55" t="inlineStr">
        <is>
          <t>个</t>
        </is>
      </c>
      <c r="E55" t="inlineStr">
        <is>
          <t>E</t>
        </is>
      </c>
      <c r="F55" t="n">
        <v>28</v>
      </c>
      <c r="G55" s="4" t="n">
        <v>2</v>
      </c>
      <c r="H55" s="5" t="n"/>
      <c r="I55" s="4" t="n">
        <v>56</v>
      </c>
      <c r="J55" s="6">
        <f>H55*F55</f>
        <v/>
      </c>
      <c r="K55" s="6">
        <f>J55-I55</f>
        <v/>
      </c>
      <c r="L55" s="7">
        <f>IF(I55=0,"",K55/I55)</f>
        <v/>
      </c>
      <c r="M55" s="6">
        <f>IF(ABS(L55)&lt;0.02," 合理",IF(ABS(L55)&lt;0.05," 关注"," 复查"))</f>
        <v/>
      </c>
    </row>
    <row r="56">
      <c r="A56" t="n">
        <v>55</v>
      </c>
      <c r="B56" t="inlineStr">
        <is>
          <t>角阀DN20</t>
        </is>
      </c>
      <c r="C56" t="inlineStr">
        <is>
          <t>乙供</t>
        </is>
      </c>
      <c r="D56" t="inlineStr">
        <is>
          <t>个</t>
        </is>
      </c>
      <c r="E56" t="inlineStr">
        <is>
          <t>A1</t>
        </is>
      </c>
      <c r="F56" t="n">
        <v>34</v>
      </c>
      <c r="G56" s="4" t="n">
        <v>2</v>
      </c>
      <c r="H56" s="5" t="n"/>
      <c r="I56" s="4" t="n">
        <v>68</v>
      </c>
      <c r="J56" s="6">
        <f>H56*F56</f>
        <v/>
      </c>
      <c r="K56" s="6">
        <f>J56-I56</f>
        <v/>
      </c>
      <c r="L56" s="7">
        <f>IF(I56=0,"",K56/I56)</f>
        <v/>
      </c>
      <c r="M56" s="6">
        <f>IF(ABS(L56)&lt;0.02," 合理",IF(ABS(L56)&lt;0.05," 关注"," 复查"))</f>
        <v/>
      </c>
    </row>
    <row r="57">
      <c r="A57" t="n">
        <v>56</v>
      </c>
      <c r="B57" t="inlineStr">
        <is>
          <t>角阀DN20</t>
        </is>
      </c>
      <c r="C57" t="inlineStr">
        <is>
          <t>乙供</t>
        </is>
      </c>
      <c r="D57" t="inlineStr">
        <is>
          <t>个</t>
        </is>
      </c>
      <c r="E57" t="inlineStr">
        <is>
          <t>B1</t>
        </is>
      </c>
      <c r="F57" t="n">
        <v>68</v>
      </c>
      <c r="G57" s="4" t="n">
        <v>2</v>
      </c>
      <c r="H57" s="5" t="n"/>
      <c r="I57" s="4" t="n">
        <v>136</v>
      </c>
      <c r="J57" s="6">
        <f>H57*F57</f>
        <v/>
      </c>
      <c r="K57" s="6">
        <f>J57-I57</f>
        <v/>
      </c>
      <c r="L57" s="7">
        <f>IF(I57=0,"",K57/I57)</f>
        <v/>
      </c>
      <c r="M57" s="6">
        <f>IF(ABS(L57)&lt;0.02," 合理",IF(ABS(L57)&lt;0.05," 关注"," 复查"))</f>
        <v/>
      </c>
    </row>
    <row r="58">
      <c r="A58" t="n">
        <v>57</v>
      </c>
      <c r="B58" t="inlineStr">
        <is>
          <t>角阀DN20</t>
        </is>
      </c>
      <c r="C58" t="inlineStr">
        <is>
          <t>乙供</t>
        </is>
      </c>
      <c r="D58" t="inlineStr">
        <is>
          <t>个</t>
        </is>
      </c>
      <c r="E58" t="inlineStr">
        <is>
          <t>B2</t>
        </is>
      </c>
      <c r="F58" t="n">
        <v>17</v>
      </c>
      <c r="G58" s="4" t="n">
        <v>2</v>
      </c>
      <c r="H58" s="5" t="n"/>
      <c r="I58" s="4" t="n">
        <v>34</v>
      </c>
      <c r="J58" s="6">
        <f>H58*F58</f>
        <v/>
      </c>
      <c r="K58" s="6">
        <f>J58-I58</f>
        <v/>
      </c>
      <c r="L58" s="7">
        <f>IF(I58=0,"",K58/I58)</f>
        <v/>
      </c>
      <c r="M58" s="6">
        <f>IF(ABS(L58)&lt;0.02," 合理",IF(ABS(L58)&lt;0.05," 关注"," 复查"))</f>
        <v/>
      </c>
    </row>
    <row r="59">
      <c r="A59" t="n">
        <v>58</v>
      </c>
      <c r="B59" t="inlineStr">
        <is>
          <t>角阀DN20</t>
        </is>
      </c>
      <c r="C59" t="inlineStr">
        <is>
          <t>乙供</t>
        </is>
      </c>
      <c r="D59" t="inlineStr">
        <is>
          <t>个</t>
        </is>
      </c>
      <c r="E59" t="inlineStr">
        <is>
          <t>C</t>
        </is>
      </c>
      <c r="F59" t="n">
        <v>17</v>
      </c>
      <c r="G59" s="4" t="n">
        <v>2</v>
      </c>
      <c r="H59" s="5" t="n"/>
      <c r="I59" s="4" t="n">
        <v>34</v>
      </c>
      <c r="J59" s="6">
        <f>H59*F59</f>
        <v/>
      </c>
      <c r="K59" s="6">
        <f>J59-I59</f>
        <v/>
      </c>
      <c r="L59" s="7">
        <f>IF(I59=0,"",K59/I59)</f>
        <v/>
      </c>
      <c r="M59" s="6">
        <f>IF(ABS(L59)&lt;0.02," 合理",IF(ABS(L59)&lt;0.05," 关注"," 复查"))</f>
        <v/>
      </c>
    </row>
    <row r="60">
      <c r="A60" t="n">
        <v>59</v>
      </c>
      <c r="B60" t="inlineStr">
        <is>
          <t>角阀DN20</t>
        </is>
      </c>
      <c r="C60" t="inlineStr">
        <is>
          <t>乙供</t>
        </is>
      </c>
      <c r="D60" t="inlineStr">
        <is>
          <t>个</t>
        </is>
      </c>
      <c r="E60" t="inlineStr">
        <is>
          <t>D1</t>
        </is>
      </c>
      <c r="F60" t="n">
        <v>34</v>
      </c>
      <c r="G60" s="4" t="n">
        <v>2</v>
      </c>
      <c r="H60" s="5" t="n"/>
      <c r="I60" s="4" t="n">
        <v>68</v>
      </c>
      <c r="J60" s="6">
        <f>H60*F60</f>
        <v/>
      </c>
      <c r="K60" s="6">
        <f>J60-I60</f>
        <v/>
      </c>
      <c r="L60" s="7">
        <f>IF(I60=0,"",K60/I60)</f>
        <v/>
      </c>
      <c r="M60" s="6">
        <f>IF(ABS(L60)&lt;0.02," 合理",IF(ABS(L60)&lt;0.05," 关注"," 复查"))</f>
        <v/>
      </c>
    </row>
    <row r="61">
      <c r="A61" t="n">
        <v>60</v>
      </c>
      <c r="B61" t="inlineStr">
        <is>
          <t>角阀DN20</t>
        </is>
      </c>
      <c r="C61" t="inlineStr">
        <is>
          <t>乙供</t>
        </is>
      </c>
      <c r="D61" t="inlineStr">
        <is>
          <t>个</t>
        </is>
      </c>
      <c r="E61" t="inlineStr">
        <is>
          <t>D2</t>
        </is>
      </c>
      <c r="F61" t="n">
        <v>15</v>
      </c>
      <c r="G61" s="4" t="n">
        <v>2</v>
      </c>
      <c r="H61" s="5" t="n"/>
      <c r="I61" s="4" t="n">
        <v>30</v>
      </c>
      <c r="J61" s="6">
        <f>H61*F61</f>
        <v/>
      </c>
      <c r="K61" s="6">
        <f>J61-I61</f>
        <v/>
      </c>
      <c r="L61" s="7">
        <f>IF(I61=0,"",K61/I61)</f>
        <v/>
      </c>
      <c r="M61" s="6">
        <f>IF(ABS(L61)&lt;0.02," 合理",IF(ABS(L61)&lt;0.05," 关注"," 复查"))</f>
        <v/>
      </c>
    </row>
    <row r="62">
      <c r="A62" t="n">
        <v>61</v>
      </c>
      <c r="B62" t="inlineStr">
        <is>
          <t>角阀DN20</t>
        </is>
      </c>
      <c r="C62" t="inlineStr">
        <is>
          <t>乙供</t>
        </is>
      </c>
      <c r="D62" t="inlineStr">
        <is>
          <t>个</t>
        </is>
      </c>
      <c r="E62" t="inlineStr">
        <is>
          <t>D3</t>
        </is>
      </c>
      <c r="F62" t="n">
        <v>2</v>
      </c>
      <c r="G62" s="4" t="n">
        <v>2</v>
      </c>
      <c r="H62" s="5" t="n"/>
      <c r="I62" s="4" t="n">
        <v>4</v>
      </c>
      <c r="J62" s="6">
        <f>H62*F62</f>
        <v/>
      </c>
      <c r="K62" s="6">
        <f>J62-I62</f>
        <v/>
      </c>
      <c r="L62" s="7">
        <f>IF(I62=0,"",K62/I62)</f>
        <v/>
      </c>
      <c r="M62" s="6">
        <f>IF(ABS(L62)&lt;0.02," 合理",IF(ABS(L62)&lt;0.05," 关注"," 复查"))</f>
        <v/>
      </c>
    </row>
    <row r="63">
      <c r="A63" t="n">
        <v>62</v>
      </c>
      <c r="B63" t="inlineStr">
        <is>
          <t>角阀DN20</t>
        </is>
      </c>
      <c r="C63" t="inlineStr">
        <is>
          <t>乙供</t>
        </is>
      </c>
      <c r="D63" t="inlineStr">
        <is>
          <t>个</t>
        </is>
      </c>
      <c r="E63" t="inlineStr">
        <is>
          <t>D4</t>
        </is>
      </c>
      <c r="F63" t="n">
        <v>2</v>
      </c>
      <c r="G63" s="4" t="n">
        <v>2</v>
      </c>
      <c r="H63" s="5" t="n"/>
      <c r="I63" s="4" t="n">
        <v>4</v>
      </c>
      <c r="J63" s="6">
        <f>H63*F63</f>
        <v/>
      </c>
      <c r="K63" s="6">
        <f>J63-I63</f>
        <v/>
      </c>
      <c r="L63" s="7">
        <f>IF(I63=0,"",K63/I63)</f>
        <v/>
      </c>
      <c r="M63" s="6">
        <f>IF(ABS(L63)&lt;0.02," 合理",IF(ABS(L63)&lt;0.05," 关注"," 复查"))</f>
        <v/>
      </c>
    </row>
    <row r="64">
      <c r="A64" t="n">
        <v>63</v>
      </c>
      <c r="B64" t="inlineStr">
        <is>
          <t>角阀DN20</t>
        </is>
      </c>
      <c r="C64" t="inlineStr">
        <is>
          <t>乙供</t>
        </is>
      </c>
      <c r="D64" t="inlineStr">
        <is>
          <t>个</t>
        </is>
      </c>
      <c r="E64" t="inlineStr">
        <is>
          <t>E</t>
        </is>
      </c>
      <c r="F64" t="n">
        <v>28</v>
      </c>
      <c r="G64" s="4" t="n">
        <v>2</v>
      </c>
      <c r="H64" s="5" t="n"/>
      <c r="I64" s="4" t="n">
        <v>56</v>
      </c>
      <c r="J64" s="6">
        <f>H64*F64</f>
        <v/>
      </c>
      <c r="K64" s="6">
        <f>J64-I64</f>
        <v/>
      </c>
      <c r="L64" s="7">
        <f>IF(I64=0,"",K64/I64)</f>
        <v/>
      </c>
      <c r="M64" s="6">
        <f>IF(ABS(L64)&lt;0.02," 合理",IF(ABS(L64)&lt;0.05," 关注"," 复查"))</f>
        <v/>
      </c>
    </row>
    <row r="65">
      <c r="A65" t="n">
        <v>64</v>
      </c>
      <c r="B65" t="inlineStr">
        <is>
          <t>球阀DN25</t>
        </is>
      </c>
      <c r="C65" t="inlineStr">
        <is>
          <t>乙供</t>
        </is>
      </c>
      <c r="D65" t="inlineStr">
        <is>
          <t>个</t>
        </is>
      </c>
      <c r="E65" t="inlineStr">
        <is>
          <t>A1</t>
        </is>
      </c>
      <c r="F65" t="n">
        <v>34</v>
      </c>
      <c r="G65" s="4" t="n">
        <v>2</v>
      </c>
      <c r="H65" s="5" t="n"/>
      <c r="I65" s="4" t="n">
        <v>68</v>
      </c>
      <c r="J65" s="6">
        <f>H65*F65</f>
        <v/>
      </c>
      <c r="K65" s="6">
        <f>J65-I65</f>
        <v/>
      </c>
      <c r="L65" s="7">
        <f>IF(I65=0,"",K65/I65)</f>
        <v/>
      </c>
      <c r="M65" s="6">
        <f>IF(ABS(L65)&lt;0.02," 合理",IF(ABS(L65)&lt;0.05," 关注"," 复查"))</f>
        <v/>
      </c>
    </row>
    <row r="66">
      <c r="A66" t="n">
        <v>65</v>
      </c>
      <c r="B66" t="inlineStr">
        <is>
          <t>球阀DN25</t>
        </is>
      </c>
      <c r="C66" t="inlineStr">
        <is>
          <t>乙供</t>
        </is>
      </c>
      <c r="D66" t="inlineStr">
        <is>
          <t>个</t>
        </is>
      </c>
      <c r="E66" t="inlineStr">
        <is>
          <t>B1</t>
        </is>
      </c>
      <c r="F66" t="n">
        <v>68</v>
      </c>
      <c r="G66" s="4" t="n">
        <v>2</v>
      </c>
      <c r="H66" s="5" t="n"/>
      <c r="I66" s="4" t="n">
        <v>136</v>
      </c>
      <c r="J66" s="6">
        <f>H66*F66</f>
        <v/>
      </c>
      <c r="K66" s="6">
        <f>J66-I66</f>
        <v/>
      </c>
      <c r="L66" s="7">
        <f>IF(I66=0,"",K66/I66)</f>
        <v/>
      </c>
      <c r="M66" s="6">
        <f>IF(ABS(L66)&lt;0.02," 合理",IF(ABS(L66)&lt;0.05," 关注"," 复查"))</f>
        <v/>
      </c>
    </row>
    <row r="67">
      <c r="A67" t="n">
        <v>66</v>
      </c>
      <c r="B67" t="inlineStr">
        <is>
          <t>球阀DN25</t>
        </is>
      </c>
      <c r="C67" t="inlineStr">
        <is>
          <t>乙供</t>
        </is>
      </c>
      <c r="D67" t="inlineStr">
        <is>
          <t>个</t>
        </is>
      </c>
      <c r="E67" t="inlineStr">
        <is>
          <t>B2</t>
        </is>
      </c>
      <c r="F67" t="n">
        <v>17</v>
      </c>
      <c r="G67" s="4" t="n">
        <v>2</v>
      </c>
      <c r="H67" s="5" t="n"/>
      <c r="I67" s="4" t="n">
        <v>34</v>
      </c>
      <c r="J67" s="6">
        <f>H67*F67</f>
        <v/>
      </c>
      <c r="K67" s="6">
        <f>J67-I67</f>
        <v/>
      </c>
      <c r="L67" s="7">
        <f>IF(I67=0,"",K67/I67)</f>
        <v/>
      </c>
      <c r="M67" s="6">
        <f>IF(ABS(L67)&lt;0.02," 合理",IF(ABS(L67)&lt;0.05," 关注"," 复查"))</f>
        <v/>
      </c>
    </row>
    <row r="68">
      <c r="A68" t="n">
        <v>67</v>
      </c>
      <c r="B68" t="inlineStr">
        <is>
          <t>球阀DN25</t>
        </is>
      </c>
      <c r="C68" t="inlineStr">
        <is>
          <t>乙供</t>
        </is>
      </c>
      <c r="D68" t="inlineStr">
        <is>
          <t>个</t>
        </is>
      </c>
      <c r="E68" t="inlineStr">
        <is>
          <t>C</t>
        </is>
      </c>
      <c r="F68" t="n">
        <v>17</v>
      </c>
      <c r="G68" s="4" t="n">
        <v>2</v>
      </c>
      <c r="H68" s="5" t="n"/>
      <c r="I68" s="4" t="n">
        <v>34</v>
      </c>
      <c r="J68" s="6">
        <f>H68*F68</f>
        <v/>
      </c>
      <c r="K68" s="6">
        <f>J68-I68</f>
        <v/>
      </c>
      <c r="L68" s="7">
        <f>IF(I68=0,"",K68/I68)</f>
        <v/>
      </c>
      <c r="M68" s="6">
        <f>IF(ABS(L68)&lt;0.02," 合理",IF(ABS(L68)&lt;0.05," 关注"," 复查"))</f>
        <v/>
      </c>
    </row>
    <row r="69">
      <c r="A69" t="n">
        <v>68</v>
      </c>
      <c r="B69" t="inlineStr">
        <is>
          <t>球阀DN25</t>
        </is>
      </c>
      <c r="C69" t="inlineStr">
        <is>
          <t>乙供</t>
        </is>
      </c>
      <c r="D69" t="inlineStr">
        <is>
          <t>个</t>
        </is>
      </c>
      <c r="E69" t="inlineStr">
        <is>
          <t>D1</t>
        </is>
      </c>
      <c r="F69" t="n">
        <v>34</v>
      </c>
      <c r="G69" s="4" t="n">
        <v>2</v>
      </c>
      <c r="H69" s="5" t="n"/>
      <c r="I69" s="4" t="n">
        <v>68</v>
      </c>
      <c r="J69" s="6">
        <f>H69*F69</f>
        <v/>
      </c>
      <c r="K69" s="6">
        <f>J69-I69</f>
        <v/>
      </c>
      <c r="L69" s="7">
        <f>IF(I69=0,"",K69/I69)</f>
        <v/>
      </c>
      <c r="M69" s="6">
        <f>IF(ABS(L69)&lt;0.02," 合理",IF(ABS(L69)&lt;0.05," 关注"," 复查"))</f>
        <v/>
      </c>
    </row>
    <row r="70">
      <c r="A70" t="n">
        <v>69</v>
      </c>
      <c r="B70" t="inlineStr">
        <is>
          <t>球阀DN25</t>
        </is>
      </c>
      <c r="C70" t="inlineStr">
        <is>
          <t>乙供</t>
        </is>
      </c>
      <c r="D70" t="inlineStr">
        <is>
          <t>个</t>
        </is>
      </c>
      <c r="E70" t="inlineStr">
        <is>
          <t>D2</t>
        </is>
      </c>
      <c r="F70" t="n">
        <v>15</v>
      </c>
      <c r="G70" s="4" t="n">
        <v>2</v>
      </c>
      <c r="H70" s="5" t="n"/>
      <c r="I70" s="4" t="n">
        <v>30</v>
      </c>
      <c r="J70" s="6">
        <f>H70*F70</f>
        <v/>
      </c>
      <c r="K70" s="6">
        <f>J70-I70</f>
        <v/>
      </c>
      <c r="L70" s="7">
        <f>IF(I70=0,"",K70/I70)</f>
        <v/>
      </c>
      <c r="M70" s="6">
        <f>IF(ABS(L70)&lt;0.02," 合理",IF(ABS(L70)&lt;0.05," 关注"," 复查"))</f>
        <v/>
      </c>
    </row>
    <row r="71">
      <c r="A71" t="n">
        <v>70</v>
      </c>
      <c r="B71" t="inlineStr">
        <is>
          <t>球阀DN25</t>
        </is>
      </c>
      <c r="C71" t="inlineStr">
        <is>
          <t>乙供</t>
        </is>
      </c>
      <c r="D71" t="inlineStr">
        <is>
          <t>个</t>
        </is>
      </c>
      <c r="E71" t="inlineStr">
        <is>
          <t>D3</t>
        </is>
      </c>
      <c r="F71" t="n">
        <v>2</v>
      </c>
      <c r="G71" s="4" t="n">
        <v>2</v>
      </c>
      <c r="H71" s="5" t="n"/>
      <c r="I71" s="4" t="n">
        <v>4</v>
      </c>
      <c r="J71" s="6">
        <f>H71*F71</f>
        <v/>
      </c>
      <c r="K71" s="6">
        <f>J71-I71</f>
        <v/>
      </c>
      <c r="L71" s="7">
        <f>IF(I71=0,"",K71/I71)</f>
        <v/>
      </c>
      <c r="M71" s="6">
        <f>IF(ABS(L71)&lt;0.02," 合理",IF(ABS(L71)&lt;0.05," 关注"," 复查"))</f>
        <v/>
      </c>
    </row>
    <row r="72">
      <c r="A72" t="n">
        <v>71</v>
      </c>
      <c r="B72" t="inlineStr">
        <is>
          <t>球阀DN25</t>
        </is>
      </c>
      <c r="C72" t="inlineStr">
        <is>
          <t>乙供</t>
        </is>
      </c>
      <c r="D72" t="inlineStr">
        <is>
          <t>个</t>
        </is>
      </c>
      <c r="E72" t="inlineStr">
        <is>
          <t>D4</t>
        </is>
      </c>
      <c r="F72" t="n">
        <v>2</v>
      </c>
      <c r="G72" s="4" t="n">
        <v>2</v>
      </c>
      <c r="H72" s="5" t="n"/>
      <c r="I72" s="4" t="n">
        <v>4</v>
      </c>
      <c r="J72" s="6">
        <f>H72*F72</f>
        <v/>
      </c>
      <c r="K72" s="6">
        <f>J72-I72</f>
        <v/>
      </c>
      <c r="L72" s="7">
        <f>IF(I72=0,"",K72/I72)</f>
        <v/>
      </c>
      <c r="M72" s="6">
        <f>IF(ABS(L72)&lt;0.02," 合理",IF(ABS(L72)&lt;0.05," 关注"," 复查"))</f>
        <v/>
      </c>
    </row>
    <row r="73">
      <c r="A73" t="n">
        <v>72</v>
      </c>
      <c r="B73" t="inlineStr">
        <is>
          <t>球阀DN25</t>
        </is>
      </c>
      <c r="C73" t="inlineStr">
        <is>
          <t>乙供</t>
        </is>
      </c>
      <c r="D73" t="inlineStr">
        <is>
          <t>个</t>
        </is>
      </c>
      <c r="E73" t="inlineStr">
        <is>
          <t>E</t>
        </is>
      </c>
      <c r="F73" t="n">
        <v>28</v>
      </c>
      <c r="G73" s="4" t="n">
        <v>2</v>
      </c>
      <c r="H73" s="5" t="n"/>
      <c r="I73" s="4" t="n">
        <v>56</v>
      </c>
      <c r="J73" s="6">
        <f>H73*F73</f>
        <v/>
      </c>
      <c r="K73" s="6">
        <f>J73-I73</f>
        <v/>
      </c>
      <c r="L73" s="7">
        <f>IF(I73=0,"",K73/I73)</f>
        <v/>
      </c>
      <c r="M73" s="6">
        <f>IF(ABS(L73)&lt;0.02," 合理",IF(ABS(L73)&lt;0.05," 关注"," 复查"))</f>
        <v/>
      </c>
    </row>
    <row r="74">
      <c r="A74" t="n">
        <v>73</v>
      </c>
      <c r="B74" t="inlineStr">
        <is>
          <t>PE-RT地暖管De16*2.0</t>
        </is>
      </c>
      <c r="C74" t="inlineStr">
        <is>
          <t>甲供</t>
        </is>
      </c>
      <c r="D74" t="inlineStr">
        <is>
          <t>m</t>
        </is>
      </c>
      <c r="E74" t="inlineStr">
        <is>
          <t>A1</t>
        </is>
      </c>
      <c r="F74" t="n">
        <v>34</v>
      </c>
      <c r="G74" s="4" t="n">
        <v>422</v>
      </c>
      <c r="H74" s="5" t="n"/>
      <c r="I74" s="4" t="n">
        <v>14348</v>
      </c>
      <c r="J74" s="6">
        <f>H74*F74</f>
        <v/>
      </c>
      <c r="K74" s="6">
        <f>J74-I74</f>
        <v/>
      </c>
      <c r="L74" s="7">
        <f>IF(I74=0,"",K74/I74)</f>
        <v/>
      </c>
      <c r="M74" s="6">
        <f>IF(ABS(L74)&lt;0.02," 合理",IF(ABS(L74)&lt;0.05," 关注"," 复查"))</f>
        <v/>
      </c>
    </row>
    <row r="75">
      <c r="A75" t="n">
        <v>74</v>
      </c>
      <c r="B75" t="inlineStr">
        <is>
          <t>PE-RT地暖管De16*2.0</t>
        </is>
      </c>
      <c r="C75" t="inlineStr">
        <is>
          <t>甲供</t>
        </is>
      </c>
      <c r="D75" t="inlineStr">
        <is>
          <t>m</t>
        </is>
      </c>
      <c r="E75" t="inlineStr">
        <is>
          <t>B1</t>
        </is>
      </c>
      <c r="F75" t="n">
        <v>68</v>
      </c>
      <c r="G75" s="4" t="n">
        <v>442</v>
      </c>
      <c r="H75" s="5" t="n"/>
      <c r="I75" s="4" t="n">
        <v>30056</v>
      </c>
      <c r="J75" s="6">
        <f>H75*F75</f>
        <v/>
      </c>
      <c r="K75" s="6">
        <f>J75-I75</f>
        <v/>
      </c>
      <c r="L75" s="7">
        <f>IF(I75=0,"",K75/I75)</f>
        <v/>
      </c>
      <c r="M75" s="6">
        <f>IF(ABS(L75)&lt;0.02," 合理",IF(ABS(L75)&lt;0.05," 关注"," 复查"))</f>
        <v/>
      </c>
    </row>
    <row r="76">
      <c r="A76" t="n">
        <v>75</v>
      </c>
      <c r="B76" t="inlineStr">
        <is>
          <t>PE-RT地暖管De16*2.0</t>
        </is>
      </c>
      <c r="C76" t="inlineStr">
        <is>
          <t>甲供</t>
        </is>
      </c>
      <c r="D76" t="inlineStr">
        <is>
          <t>m</t>
        </is>
      </c>
      <c r="E76" t="inlineStr">
        <is>
          <t>B2</t>
        </is>
      </c>
      <c r="F76" t="n">
        <v>17</v>
      </c>
      <c r="G76" s="4" t="n">
        <v>457</v>
      </c>
      <c r="H76" s="5" t="n"/>
      <c r="I76" s="4" t="n">
        <v>7769</v>
      </c>
      <c r="J76" s="6">
        <f>H76*F76</f>
        <v/>
      </c>
      <c r="K76" s="6">
        <f>J76-I76</f>
        <v/>
      </c>
      <c r="L76" s="7">
        <f>IF(I76=0,"",K76/I76)</f>
        <v/>
      </c>
      <c r="M76" s="6">
        <f>IF(ABS(L76)&lt;0.02," 合理",IF(ABS(L76)&lt;0.05," 关注"," 复查"))</f>
        <v/>
      </c>
    </row>
    <row r="77">
      <c r="A77" t="n">
        <v>76</v>
      </c>
      <c r="B77" t="inlineStr">
        <is>
          <t>PE-RT地暖管De16*2.0</t>
        </is>
      </c>
      <c r="C77" t="inlineStr">
        <is>
          <t>甲供</t>
        </is>
      </c>
      <c r="D77" t="inlineStr">
        <is>
          <t>m</t>
        </is>
      </c>
      <c r="E77" t="inlineStr">
        <is>
          <t>C</t>
        </is>
      </c>
      <c r="F77" t="n">
        <v>17</v>
      </c>
      <c r="G77" s="4" t="n">
        <v>436</v>
      </c>
      <c r="H77" s="5" t="n"/>
      <c r="I77" s="4" t="n">
        <v>7412</v>
      </c>
      <c r="J77" s="6">
        <f>H77*F77</f>
        <v/>
      </c>
      <c r="K77" s="6">
        <f>J77-I77</f>
        <v/>
      </c>
      <c r="L77" s="7">
        <f>IF(I77=0,"",K77/I77)</f>
        <v/>
      </c>
      <c r="M77" s="6">
        <f>IF(ABS(L77)&lt;0.02," 合理",IF(ABS(L77)&lt;0.05," 关注"," 复查"))</f>
        <v/>
      </c>
    </row>
    <row r="78">
      <c r="A78" t="n">
        <v>77</v>
      </c>
      <c r="B78" t="inlineStr">
        <is>
          <t>PE-RT地暖管De16*2.0</t>
        </is>
      </c>
      <c r="C78" t="inlineStr">
        <is>
          <t>甲供</t>
        </is>
      </c>
      <c r="D78" t="inlineStr">
        <is>
          <t>m</t>
        </is>
      </c>
      <c r="E78" t="inlineStr">
        <is>
          <t>D1</t>
        </is>
      </c>
      <c r="F78" t="n">
        <v>34</v>
      </c>
      <c r="G78" s="4" t="n">
        <v>630</v>
      </c>
      <c r="H78" s="5" t="n"/>
      <c r="I78" s="4" t="n">
        <v>21420</v>
      </c>
      <c r="J78" s="6">
        <f>H78*F78</f>
        <v/>
      </c>
      <c r="K78" s="6">
        <f>J78-I78</f>
        <v/>
      </c>
      <c r="L78" s="7">
        <f>IF(I78=0,"",K78/I78)</f>
        <v/>
      </c>
      <c r="M78" s="6">
        <f>IF(ABS(L78)&lt;0.02," 合理",IF(ABS(L78)&lt;0.05," 关注"," 复查"))</f>
        <v/>
      </c>
    </row>
    <row r="79">
      <c r="A79" t="n">
        <v>78</v>
      </c>
      <c r="B79" t="inlineStr">
        <is>
          <t>PE-RT地暖管De16*2.0</t>
        </is>
      </c>
      <c r="C79" t="inlineStr">
        <is>
          <t>甲供</t>
        </is>
      </c>
      <c r="D79" t="inlineStr">
        <is>
          <t>m</t>
        </is>
      </c>
      <c r="E79" t="inlineStr">
        <is>
          <t>D2</t>
        </is>
      </c>
      <c r="F79" t="n">
        <v>15</v>
      </c>
      <c r="G79" s="4" t="n">
        <v>623</v>
      </c>
      <c r="H79" s="5" t="n"/>
      <c r="I79" s="4" t="n">
        <v>9345</v>
      </c>
      <c r="J79" s="6">
        <f>H79*F79</f>
        <v/>
      </c>
      <c r="K79" s="6">
        <f>J79-I79</f>
        <v/>
      </c>
      <c r="L79" s="7">
        <f>IF(I79=0,"",K79/I79)</f>
        <v/>
      </c>
      <c r="M79" s="6">
        <f>IF(ABS(L79)&lt;0.02," 合理",IF(ABS(L79)&lt;0.05," 关注"," 复查"))</f>
        <v/>
      </c>
    </row>
    <row r="80">
      <c r="A80" t="n">
        <v>79</v>
      </c>
      <c r="B80" t="inlineStr">
        <is>
          <t>PE-RT地暖管De16*2.0</t>
        </is>
      </c>
      <c r="C80" t="inlineStr">
        <is>
          <t>甲供</t>
        </is>
      </c>
      <c r="D80" t="inlineStr">
        <is>
          <t>m</t>
        </is>
      </c>
      <c r="E80" t="inlineStr">
        <is>
          <t>D3</t>
        </is>
      </c>
      <c r="F80" t="n">
        <v>2</v>
      </c>
      <c r="G80" s="4" t="n">
        <v>630</v>
      </c>
      <c r="H80" s="5" t="n"/>
      <c r="I80" s="4" t="n">
        <v>1260</v>
      </c>
      <c r="J80" s="6">
        <f>H80*F80</f>
        <v/>
      </c>
      <c r="K80" s="6">
        <f>J80-I80</f>
        <v/>
      </c>
      <c r="L80" s="7">
        <f>IF(I80=0,"",K80/I80)</f>
        <v/>
      </c>
      <c r="M80" s="6">
        <f>IF(ABS(L80)&lt;0.02," 合理",IF(ABS(L80)&lt;0.05," 关注"," 复查"))</f>
        <v/>
      </c>
    </row>
    <row r="81">
      <c r="A81" t="n">
        <v>80</v>
      </c>
      <c r="B81" t="inlineStr">
        <is>
          <t>PE-RT地暖管De16*2.0</t>
        </is>
      </c>
      <c r="C81" t="inlineStr">
        <is>
          <t>甲供</t>
        </is>
      </c>
      <c r="D81" t="inlineStr">
        <is>
          <t>m</t>
        </is>
      </c>
      <c r="E81" t="inlineStr">
        <is>
          <t>D4</t>
        </is>
      </c>
      <c r="F81" t="n">
        <v>2</v>
      </c>
      <c r="G81" s="4" t="n">
        <v>623</v>
      </c>
      <c r="H81" s="5" t="n"/>
      <c r="I81" s="4" t="n">
        <v>1246</v>
      </c>
      <c r="J81" s="6">
        <f>H81*F81</f>
        <v/>
      </c>
      <c r="K81" s="6">
        <f>J81-I81</f>
        <v/>
      </c>
      <c r="L81" s="7">
        <f>IF(I81=0,"",K81/I81)</f>
        <v/>
      </c>
      <c r="M81" s="6">
        <f>IF(ABS(L81)&lt;0.02," 合理",IF(ABS(L81)&lt;0.05," 关注"," 复查"))</f>
        <v/>
      </c>
    </row>
    <row r="82">
      <c r="A82" t="n">
        <v>81</v>
      </c>
      <c r="B82" t="inlineStr">
        <is>
          <t>PE-RT地暖管De16*2.0</t>
        </is>
      </c>
      <c r="C82" t="inlineStr">
        <is>
          <t>甲供</t>
        </is>
      </c>
      <c r="D82" t="inlineStr">
        <is>
          <t>m</t>
        </is>
      </c>
      <c r="E82" t="inlineStr">
        <is>
          <t>E</t>
        </is>
      </c>
      <c r="F82" t="n">
        <v>28</v>
      </c>
      <c r="G82" s="4" t="n">
        <v>624</v>
      </c>
      <c r="H82" s="5" t="n"/>
      <c r="I82" s="4" t="n">
        <v>17472</v>
      </c>
      <c r="J82" s="6">
        <f>H82*F82</f>
        <v/>
      </c>
      <c r="K82" s="6">
        <f>J82-I82</f>
        <v/>
      </c>
      <c r="L82" s="7">
        <f>IF(I82=0,"",K82/I82)</f>
        <v/>
      </c>
      <c r="M82" s="6">
        <f>IF(ABS(L82)&lt;0.02," 合理",IF(ABS(L82)&lt;0.05," 关注"," 复查"))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序号</t>
        </is>
      </c>
      <c r="B1" s="3" t="inlineStr">
        <is>
          <t>材料名称</t>
        </is>
      </c>
      <c r="C1" s="3" t="inlineStr">
        <is>
          <t>单位</t>
        </is>
      </c>
      <c r="D1" s="3" t="inlineStr">
        <is>
          <t>户型</t>
        </is>
      </c>
      <c r="E1" s="3" t="inlineStr">
        <is>
          <t>户数</t>
        </is>
      </c>
      <c r="F1" s="3" t="inlineStr">
        <is>
          <t>BOQ每户量(m)</t>
        </is>
      </c>
      <c r="G1" s="3" t="inlineStr">
        <is>
          <t>图算每户量(m)</t>
        </is>
      </c>
      <c r="H1" s="3" t="inlineStr">
        <is>
          <t>BOQ总量(m)</t>
        </is>
      </c>
      <c r="I1" s="3" t="inlineStr">
        <is>
          <t>图算总量(m)</t>
        </is>
      </c>
      <c r="J1" s="3" t="inlineStr">
        <is>
          <t>差异(m)</t>
        </is>
      </c>
      <c r="K1" s="3" t="inlineStr">
        <is>
          <t>差异率</t>
        </is>
      </c>
      <c r="L1" s="3" t="inlineStr">
        <is>
          <t>判定</t>
        </is>
      </c>
    </row>
    <row r="2">
      <c r="A2" t="n">
        <v>1</v>
      </c>
      <c r="B2" t="inlineStr">
        <is>
          <t>PVC排水管DN50</t>
        </is>
      </c>
      <c r="C2" t="inlineStr">
        <is>
          <t>m</t>
        </is>
      </c>
      <c r="D2" t="inlineStr">
        <is>
          <t>A1</t>
        </is>
      </c>
      <c r="E2" t="n">
        <v>34</v>
      </c>
      <c r="F2" s="4" t="n">
        <v>5.283</v>
      </c>
      <c r="G2" s="5" t="n"/>
      <c r="H2" s="4" t="n">
        <v>179.62</v>
      </c>
      <c r="I2" s="6">
        <f>G2*E2</f>
        <v/>
      </c>
      <c r="J2" s="6">
        <f>I2-H2</f>
        <v/>
      </c>
      <c r="K2" s="7">
        <f>IF(H2=0,"",J2/H2)</f>
        <v/>
      </c>
      <c r="L2" s="6">
        <f>IF(ABS(K2)&lt;0.02," 合理",IF(ABS(K2)&lt;0.05," 关注"," 复查"))</f>
        <v/>
      </c>
    </row>
    <row r="3">
      <c r="A3" t="n">
        <v>2</v>
      </c>
      <c r="B3" t="inlineStr">
        <is>
          <t>PVC排水管DN50</t>
        </is>
      </c>
      <c r="C3" t="inlineStr">
        <is>
          <t>m</t>
        </is>
      </c>
      <c r="D3" t="inlineStr">
        <is>
          <t>B1</t>
        </is>
      </c>
      <c r="E3" t="n">
        <v>68</v>
      </c>
      <c r="F3" s="4" t="n">
        <v>20.976</v>
      </c>
      <c r="G3" s="5" t="n"/>
      <c r="H3" s="4" t="n">
        <v>1426.37</v>
      </c>
      <c r="I3" s="6">
        <f>G3*E3</f>
        <v/>
      </c>
      <c r="J3" s="6">
        <f>I3-H3</f>
        <v/>
      </c>
      <c r="K3" s="7">
        <f>IF(H3=0,"",J3/H3)</f>
        <v/>
      </c>
      <c r="L3" s="6">
        <f>IF(ABS(K3)&lt;0.02," 合理",IF(ABS(K3)&lt;0.05," 关注"," 复查"))</f>
        <v/>
      </c>
    </row>
    <row r="4">
      <c r="A4" t="n">
        <v>3</v>
      </c>
      <c r="B4" t="inlineStr">
        <is>
          <t>PVC排水管DN50</t>
        </is>
      </c>
      <c r="C4" t="inlineStr">
        <is>
          <t>m</t>
        </is>
      </c>
      <c r="D4" t="inlineStr">
        <is>
          <t>B2</t>
        </is>
      </c>
      <c r="E4" t="n">
        <v>17</v>
      </c>
      <c r="F4" s="4" t="n">
        <v>20.976</v>
      </c>
      <c r="G4" s="5" t="n"/>
      <c r="H4" s="4" t="n">
        <v>356.59</v>
      </c>
      <c r="I4" s="6">
        <f>G4*E4</f>
        <v/>
      </c>
      <c r="J4" s="6">
        <f>I4-H4</f>
        <v/>
      </c>
      <c r="K4" s="7">
        <f>IF(H4=0,"",J4/H4)</f>
        <v/>
      </c>
      <c r="L4" s="6">
        <f>IF(ABS(K4)&lt;0.02," 合理",IF(ABS(K4)&lt;0.05," 关注"," 复查"))</f>
        <v/>
      </c>
    </row>
    <row r="5">
      <c r="A5" t="n">
        <v>4</v>
      </c>
      <c r="B5" t="inlineStr">
        <is>
          <t>PVC排水管DN50</t>
        </is>
      </c>
      <c r="C5" t="inlineStr">
        <is>
          <t>m</t>
        </is>
      </c>
      <c r="D5" t="inlineStr">
        <is>
          <t>C</t>
        </is>
      </c>
      <c r="E5" t="n">
        <v>17</v>
      </c>
      <c r="F5" s="4" t="n">
        <v>19.758</v>
      </c>
      <c r="G5" s="5" t="n"/>
      <c r="H5" s="4" t="n">
        <v>335.89</v>
      </c>
      <c r="I5" s="6">
        <f>G5*E5</f>
        <v/>
      </c>
      <c r="J5" s="6">
        <f>I5-H5</f>
        <v/>
      </c>
      <c r="K5" s="7">
        <f>IF(H5=0,"",J5/H5)</f>
        <v/>
      </c>
      <c r="L5" s="6">
        <f>IF(ABS(K5)&lt;0.02," 合理",IF(ABS(K5)&lt;0.05," 关注"," 复查"))</f>
        <v/>
      </c>
    </row>
    <row r="6">
      <c r="A6" t="n">
        <v>5</v>
      </c>
      <c r="B6" t="inlineStr">
        <is>
          <t>PVC排水管DN50</t>
        </is>
      </c>
      <c r="C6" t="inlineStr">
        <is>
          <t>m</t>
        </is>
      </c>
      <c r="D6" t="inlineStr">
        <is>
          <t>D1</t>
        </is>
      </c>
      <c r="E6" t="n">
        <v>34</v>
      </c>
      <c r="F6" s="4" t="n">
        <v>22.988</v>
      </c>
      <c r="G6" s="5" t="n"/>
      <c r="H6" s="4" t="n">
        <v>781.59</v>
      </c>
      <c r="I6" s="6">
        <f>G6*E6</f>
        <v/>
      </c>
      <c r="J6" s="6">
        <f>I6-H6</f>
        <v/>
      </c>
      <c r="K6" s="7">
        <f>IF(H6=0,"",J6/H6)</f>
        <v/>
      </c>
      <c r="L6" s="6">
        <f>IF(ABS(K6)&lt;0.02," 合理",IF(ABS(K6)&lt;0.05," 关注"," 复查"))</f>
        <v/>
      </c>
    </row>
    <row r="7">
      <c r="A7" t="n">
        <v>6</v>
      </c>
      <c r="B7" t="inlineStr">
        <is>
          <t>PVC排水管DN50</t>
        </is>
      </c>
      <c r="C7" t="inlineStr">
        <is>
          <t>m</t>
        </is>
      </c>
      <c r="D7" t="inlineStr">
        <is>
          <t>D2</t>
        </is>
      </c>
      <c r="E7" t="n">
        <v>15</v>
      </c>
      <c r="F7" s="4" t="n">
        <v>22.988</v>
      </c>
      <c r="G7" s="5" t="n"/>
      <c r="H7" s="4" t="n">
        <v>344.82</v>
      </c>
      <c r="I7" s="6">
        <f>G7*E7</f>
        <v/>
      </c>
      <c r="J7" s="6">
        <f>I7-H7</f>
        <v/>
      </c>
      <c r="K7" s="7">
        <f>IF(H7=0,"",J7/H7)</f>
        <v/>
      </c>
      <c r="L7" s="6">
        <f>IF(ABS(K7)&lt;0.02," 合理",IF(ABS(K7)&lt;0.05," 关注"," 复查"))</f>
        <v/>
      </c>
    </row>
    <row r="8">
      <c r="A8" t="n">
        <v>7</v>
      </c>
      <c r="B8" t="inlineStr">
        <is>
          <t>PVC排水管DN50</t>
        </is>
      </c>
      <c r="C8" t="inlineStr">
        <is>
          <t>m</t>
        </is>
      </c>
      <c r="D8" t="inlineStr">
        <is>
          <t>D3</t>
        </is>
      </c>
      <c r="E8" t="n">
        <v>2</v>
      </c>
      <c r="F8" s="4" t="n">
        <v>22.988</v>
      </c>
      <c r="G8" s="5" t="n"/>
      <c r="H8" s="4" t="n">
        <v>45.98</v>
      </c>
      <c r="I8" s="6">
        <f>G8*E8</f>
        <v/>
      </c>
      <c r="J8" s="6">
        <f>I8-H8</f>
        <v/>
      </c>
      <c r="K8" s="7">
        <f>IF(H8=0,"",J8/H8)</f>
        <v/>
      </c>
      <c r="L8" s="6">
        <f>IF(ABS(K8)&lt;0.02," 合理",IF(ABS(K8)&lt;0.05," 关注"," 复查"))</f>
        <v/>
      </c>
    </row>
    <row r="9">
      <c r="A9" t="n">
        <v>8</v>
      </c>
      <c r="B9" t="inlineStr">
        <is>
          <t>PVC排水管DN50</t>
        </is>
      </c>
      <c r="C9" t="inlineStr">
        <is>
          <t>m</t>
        </is>
      </c>
      <c r="D9" t="inlineStr">
        <is>
          <t>D4</t>
        </is>
      </c>
      <c r="E9" t="n">
        <v>2</v>
      </c>
      <c r="F9" s="4" t="n">
        <v>22.988</v>
      </c>
      <c r="G9" s="5" t="n"/>
      <c r="H9" s="4" t="n">
        <v>45.98</v>
      </c>
      <c r="I9" s="6">
        <f>G9*E9</f>
        <v/>
      </c>
      <c r="J9" s="6">
        <f>I9-H9</f>
        <v/>
      </c>
      <c r="K9" s="7">
        <f>IF(H9=0,"",J9/H9)</f>
        <v/>
      </c>
      <c r="L9" s="6">
        <f>IF(ABS(K9)&lt;0.02," 合理",IF(ABS(K9)&lt;0.05," 关注"," 复查"))</f>
        <v/>
      </c>
    </row>
    <row r="10">
      <c r="A10" t="n">
        <v>9</v>
      </c>
      <c r="B10" t="inlineStr">
        <is>
          <t>PVC排水管DN50</t>
        </is>
      </c>
      <c r="C10" t="inlineStr">
        <is>
          <t>m</t>
        </is>
      </c>
      <c r="D10" t="inlineStr">
        <is>
          <t>E</t>
        </is>
      </c>
      <c r="E10" t="n">
        <v>28</v>
      </c>
      <c r="F10" s="4" t="n">
        <v>11.9</v>
      </c>
      <c r="G10" s="5" t="n"/>
      <c r="H10" s="4" t="n">
        <v>333.2</v>
      </c>
      <c r="I10" s="6">
        <f>G10*E10</f>
        <v/>
      </c>
      <c r="J10" s="6">
        <f>I10-H10</f>
        <v/>
      </c>
      <c r="K10" s="7">
        <f>IF(H10=0,"",J10/H10)</f>
        <v/>
      </c>
      <c r="L10" s="6">
        <f>IF(ABS(K10)&lt;0.02," 合理",IF(ABS(K10)&lt;0.05," 关注"," 复查"))</f>
        <v/>
      </c>
    </row>
    <row r="11">
      <c r="A11" t="n">
        <v>10</v>
      </c>
      <c r="B11" t="inlineStr">
        <is>
          <t>PVC排水管DN75</t>
        </is>
      </c>
      <c r="C11" t="inlineStr">
        <is>
          <t>m</t>
        </is>
      </c>
      <c r="D11" t="inlineStr">
        <is>
          <t>A1</t>
        </is>
      </c>
      <c r="E11" t="n">
        <v>34</v>
      </c>
      <c r="F11" s="4" t="n">
        <v>16.997</v>
      </c>
      <c r="G11" s="5" t="n"/>
      <c r="H11" s="4" t="n">
        <v>577.9</v>
      </c>
      <c r="I11" s="6">
        <f>G11*E11</f>
        <v/>
      </c>
      <c r="J11" s="6">
        <f>I11-H11</f>
        <v/>
      </c>
      <c r="K11" s="7">
        <f>IF(H11=0,"",J11/H11)</f>
        <v/>
      </c>
      <c r="L11" s="6">
        <f>IF(ABS(K11)&lt;0.02," 合理",IF(ABS(K11)&lt;0.05," 关注"," 复查"))</f>
        <v/>
      </c>
    </row>
    <row r="12">
      <c r="A12" t="n">
        <v>11</v>
      </c>
      <c r="B12" t="inlineStr">
        <is>
          <t>PVC排水管DN75</t>
        </is>
      </c>
      <c r="C12" t="inlineStr">
        <is>
          <t>m</t>
        </is>
      </c>
      <c r="D12" t="inlineStr">
        <is>
          <t>B1</t>
        </is>
      </c>
      <c r="E12" t="n">
        <v>68</v>
      </c>
      <c r="F12" s="4" t="n">
        <v>27.266</v>
      </c>
      <c r="G12" s="5" t="n"/>
      <c r="H12" s="4" t="n">
        <v>1854.09</v>
      </c>
      <c r="I12" s="6">
        <f>G12*E12</f>
        <v/>
      </c>
      <c r="J12" s="6">
        <f>I12-H12</f>
        <v/>
      </c>
      <c r="K12" s="7">
        <f>IF(H12=0,"",J12/H12)</f>
        <v/>
      </c>
      <c r="L12" s="6">
        <f>IF(ABS(K12)&lt;0.02," 合理",IF(ABS(K12)&lt;0.05," 关注"," 复查"))</f>
        <v/>
      </c>
    </row>
    <row r="13">
      <c r="A13" t="n">
        <v>12</v>
      </c>
      <c r="B13" t="inlineStr">
        <is>
          <t>PVC排水管DN75</t>
        </is>
      </c>
      <c r="C13" t="inlineStr">
        <is>
          <t>m</t>
        </is>
      </c>
      <c r="D13" t="inlineStr">
        <is>
          <t>B2</t>
        </is>
      </c>
      <c r="E13" t="n">
        <v>17</v>
      </c>
      <c r="F13" s="4" t="n">
        <v>27.266</v>
      </c>
      <c r="G13" s="5" t="n"/>
      <c r="H13" s="4" t="n">
        <v>463.52</v>
      </c>
      <c r="I13" s="6">
        <f>G13*E13</f>
        <v/>
      </c>
      <c r="J13" s="6">
        <f>I13-H13</f>
        <v/>
      </c>
      <c r="K13" s="7">
        <f>IF(H13=0,"",J13/H13)</f>
        <v/>
      </c>
      <c r="L13" s="6">
        <f>IF(ABS(K13)&lt;0.02," 合理",IF(ABS(K13)&lt;0.05," 关注"," 复查"))</f>
        <v/>
      </c>
    </row>
    <row r="14">
      <c r="A14" t="n">
        <v>13</v>
      </c>
      <c r="B14" t="inlineStr">
        <is>
          <t>PVC排水管DN75</t>
        </is>
      </c>
      <c r="C14" t="inlineStr">
        <is>
          <t>m</t>
        </is>
      </c>
      <c r="D14" t="inlineStr">
        <is>
          <t>C</t>
        </is>
      </c>
      <c r="E14" t="n">
        <v>17</v>
      </c>
      <c r="F14" s="4" t="n">
        <v>27.6</v>
      </c>
      <c r="G14" s="5" t="n"/>
      <c r="H14" s="4" t="n">
        <v>469.2</v>
      </c>
      <c r="I14" s="6">
        <f>G14*E14</f>
        <v/>
      </c>
      <c r="J14" s="6">
        <f>I14-H14</f>
        <v/>
      </c>
      <c r="K14" s="7">
        <f>IF(H14=0,"",J14/H14)</f>
        <v/>
      </c>
      <c r="L14" s="6">
        <f>IF(ABS(K14)&lt;0.02," 合理",IF(ABS(K14)&lt;0.05," 关注"," 复查"))</f>
        <v/>
      </c>
    </row>
    <row r="15">
      <c r="A15" t="n">
        <v>14</v>
      </c>
      <c r="B15" t="inlineStr">
        <is>
          <t>PVC排水管DN75</t>
        </is>
      </c>
      <c r="C15" t="inlineStr">
        <is>
          <t>m</t>
        </is>
      </c>
      <c r="D15" t="inlineStr">
        <is>
          <t>D1</t>
        </is>
      </c>
      <c r="E15" t="n">
        <v>34</v>
      </c>
      <c r="F15" s="4" t="n">
        <v>36.446</v>
      </c>
      <c r="G15" s="5" t="n"/>
      <c r="H15" s="4" t="n">
        <v>1239.16</v>
      </c>
      <c r="I15" s="6">
        <f>G15*E15</f>
        <v/>
      </c>
      <c r="J15" s="6">
        <f>I15-H15</f>
        <v/>
      </c>
      <c r="K15" s="7">
        <f>IF(H15=0,"",J15/H15)</f>
        <v/>
      </c>
      <c r="L15" s="6">
        <f>IF(ABS(K15)&lt;0.02," 合理",IF(ABS(K15)&lt;0.05," 关注"," 复查"))</f>
        <v/>
      </c>
    </row>
    <row r="16">
      <c r="A16" t="n">
        <v>15</v>
      </c>
      <c r="B16" t="inlineStr">
        <is>
          <t>PVC排水管DN75</t>
        </is>
      </c>
      <c r="C16" t="inlineStr">
        <is>
          <t>m</t>
        </is>
      </c>
      <c r="D16" t="inlineStr">
        <is>
          <t>D2</t>
        </is>
      </c>
      <c r="E16" t="n">
        <v>15</v>
      </c>
      <c r="F16" s="4" t="n">
        <v>36.446</v>
      </c>
      <c r="G16" s="5" t="n"/>
      <c r="H16" s="4" t="n">
        <v>546.6900000000001</v>
      </c>
      <c r="I16" s="6">
        <f>G16*E16</f>
        <v/>
      </c>
      <c r="J16" s="6">
        <f>I16-H16</f>
        <v/>
      </c>
      <c r="K16" s="7">
        <f>IF(H16=0,"",J16/H16)</f>
        <v/>
      </c>
      <c r="L16" s="6">
        <f>IF(ABS(K16)&lt;0.02," 合理",IF(ABS(K16)&lt;0.05," 关注"," 复查"))</f>
        <v/>
      </c>
    </row>
    <row r="17">
      <c r="A17" t="n">
        <v>16</v>
      </c>
      <c r="B17" t="inlineStr">
        <is>
          <t>PVC排水管DN75</t>
        </is>
      </c>
      <c r="C17" t="inlineStr">
        <is>
          <t>m</t>
        </is>
      </c>
      <c r="D17" t="inlineStr">
        <is>
          <t>D3</t>
        </is>
      </c>
      <c r="E17" t="n">
        <v>2</v>
      </c>
      <c r="F17" s="4" t="n">
        <v>36.446</v>
      </c>
      <c r="G17" s="5" t="n"/>
      <c r="H17" s="4" t="n">
        <v>72.89</v>
      </c>
      <c r="I17" s="6">
        <f>G17*E17</f>
        <v/>
      </c>
      <c r="J17" s="6">
        <f>I17-H17</f>
        <v/>
      </c>
      <c r="K17" s="7">
        <f>IF(H17=0,"",J17/H17)</f>
        <v/>
      </c>
      <c r="L17" s="6">
        <f>IF(ABS(K17)&lt;0.02," 合理",IF(ABS(K17)&lt;0.05," 关注"," 复查"))</f>
        <v/>
      </c>
    </row>
    <row r="18">
      <c r="A18" t="n">
        <v>17</v>
      </c>
      <c r="B18" t="inlineStr">
        <is>
          <t>PVC排水管DN75</t>
        </is>
      </c>
      <c r="C18" t="inlineStr">
        <is>
          <t>m</t>
        </is>
      </c>
      <c r="D18" t="inlineStr">
        <is>
          <t>D4</t>
        </is>
      </c>
      <c r="E18" t="n">
        <v>2</v>
      </c>
      <c r="F18" s="4" t="n">
        <v>36.446</v>
      </c>
      <c r="G18" s="5" t="n"/>
      <c r="H18" s="4" t="n">
        <v>72.89</v>
      </c>
      <c r="I18" s="6">
        <f>G18*E18</f>
        <v/>
      </c>
      <c r="J18" s="6">
        <f>I18-H18</f>
        <v/>
      </c>
      <c r="K18" s="7">
        <f>IF(H18=0,"",J18/H18)</f>
        <v/>
      </c>
      <c r="L18" s="6">
        <f>IF(ABS(K18)&lt;0.02," 合理",IF(ABS(K18)&lt;0.05," 关注"," 复查"))</f>
        <v/>
      </c>
    </row>
    <row r="19">
      <c r="A19" t="n">
        <v>18</v>
      </c>
      <c r="B19" t="inlineStr">
        <is>
          <t>PVC排水管DN75</t>
        </is>
      </c>
      <c r="C19" t="inlineStr">
        <is>
          <t>m</t>
        </is>
      </c>
      <c r="D19" t="inlineStr">
        <is>
          <t>E</t>
        </is>
      </c>
      <c r="E19" t="n">
        <v>28</v>
      </c>
      <c r="F19" s="4" t="n">
        <v>2.11</v>
      </c>
      <c r="G19" s="5" t="n"/>
      <c r="H19" s="4" t="n">
        <v>59.08</v>
      </c>
      <c r="I19" s="6">
        <f>G19*E19</f>
        <v/>
      </c>
      <c r="J19" s="6">
        <f>I19-H19</f>
        <v/>
      </c>
      <c r="K19" s="7">
        <f>IF(H19=0,"",J19/H19)</f>
        <v/>
      </c>
      <c r="L19" s="6">
        <f>IF(ABS(K19)&lt;0.02," 合理",IF(ABS(K19)&lt;0.05," 关注"," 复查"))</f>
        <v/>
      </c>
    </row>
    <row r="20">
      <c r="A20" t="n">
        <v>19</v>
      </c>
      <c r="B20" t="inlineStr">
        <is>
          <t>PVC排水管DN100</t>
        </is>
      </c>
      <c r="C20" t="inlineStr">
        <is>
          <t>m</t>
        </is>
      </c>
      <c r="D20" t="inlineStr">
        <is>
          <t>A1</t>
        </is>
      </c>
      <c r="E20" t="n">
        <v>34</v>
      </c>
      <c r="F20" s="4" t="n">
        <v>5.365</v>
      </c>
      <c r="G20" s="5" t="n"/>
      <c r="H20" s="4" t="n">
        <v>182.41</v>
      </c>
      <c r="I20" s="6">
        <f>G20*E20</f>
        <v/>
      </c>
      <c r="J20" s="6">
        <f>I20-H20</f>
        <v/>
      </c>
      <c r="K20" s="7">
        <f>IF(H20=0,"",J20/H20)</f>
        <v/>
      </c>
      <c r="L20" s="6">
        <f>IF(ABS(K20)&lt;0.02," 合理",IF(ABS(K20)&lt;0.05," 关注"," 复查"))</f>
        <v/>
      </c>
    </row>
    <row r="21">
      <c r="A21" t="n">
        <v>20</v>
      </c>
      <c r="B21" t="inlineStr">
        <is>
          <t>PVC排水管DN100</t>
        </is>
      </c>
      <c r="C21" t="inlineStr">
        <is>
          <t>m</t>
        </is>
      </c>
      <c r="D21" t="inlineStr">
        <is>
          <t>B1</t>
        </is>
      </c>
      <c r="E21" t="n">
        <v>68</v>
      </c>
      <c r="F21" s="4" t="n">
        <v>15.154</v>
      </c>
      <c r="G21" s="5" t="n"/>
      <c r="H21" s="4" t="n">
        <v>1030.47</v>
      </c>
      <c r="I21" s="6">
        <f>G21*E21</f>
        <v/>
      </c>
      <c r="J21" s="6">
        <f>I21-H21</f>
        <v/>
      </c>
      <c r="K21" s="7">
        <f>IF(H21=0,"",J21/H21)</f>
        <v/>
      </c>
      <c r="L21" s="6">
        <f>IF(ABS(K21)&lt;0.02," 合理",IF(ABS(K21)&lt;0.05," 关注"," 复查"))</f>
        <v/>
      </c>
    </row>
    <row r="22">
      <c r="A22" t="n">
        <v>21</v>
      </c>
      <c r="B22" t="inlineStr">
        <is>
          <t>PVC排水管DN100</t>
        </is>
      </c>
      <c r="C22" t="inlineStr">
        <is>
          <t>m</t>
        </is>
      </c>
      <c r="D22" t="inlineStr">
        <is>
          <t>B2</t>
        </is>
      </c>
      <c r="E22" t="n">
        <v>17</v>
      </c>
      <c r="F22" s="4" t="n">
        <v>15.154</v>
      </c>
      <c r="G22" s="5" t="n"/>
      <c r="H22" s="4" t="n">
        <v>257.62</v>
      </c>
      <c r="I22" s="6">
        <f>G22*E22</f>
        <v/>
      </c>
      <c r="J22" s="6">
        <f>I22-H22</f>
        <v/>
      </c>
      <c r="K22" s="7">
        <f>IF(H22=0,"",J22/H22)</f>
        <v/>
      </c>
      <c r="L22" s="6">
        <f>IF(ABS(K22)&lt;0.02," 合理",IF(ABS(K22)&lt;0.05," 关注"," 复查"))</f>
        <v/>
      </c>
    </row>
    <row r="23">
      <c r="A23" t="n">
        <v>22</v>
      </c>
      <c r="B23" t="inlineStr">
        <is>
          <t>PVC排水管DN100</t>
        </is>
      </c>
      <c r="C23" t="inlineStr">
        <is>
          <t>m</t>
        </is>
      </c>
      <c r="D23" t="inlineStr">
        <is>
          <t>C</t>
        </is>
      </c>
      <c r="E23" t="n">
        <v>17</v>
      </c>
      <c r="F23" s="4" t="n">
        <v>17.592</v>
      </c>
      <c r="G23" s="5" t="n"/>
      <c r="H23" s="4" t="n">
        <v>299.06</v>
      </c>
      <c r="I23" s="6">
        <f>G23*E23</f>
        <v/>
      </c>
      <c r="J23" s="6">
        <f>I23-H23</f>
        <v/>
      </c>
      <c r="K23" s="7">
        <f>IF(H23=0,"",J23/H23)</f>
        <v/>
      </c>
      <c r="L23" s="6">
        <f>IF(ABS(K23)&lt;0.02," 合理",IF(ABS(K23)&lt;0.05," 关注"," 复查"))</f>
        <v/>
      </c>
    </row>
    <row r="24">
      <c r="A24" t="n">
        <v>23</v>
      </c>
      <c r="B24" t="inlineStr">
        <is>
          <t>PVC排水管DN100</t>
        </is>
      </c>
      <c r="C24" t="inlineStr">
        <is>
          <t>m</t>
        </is>
      </c>
      <c r="D24" t="inlineStr">
        <is>
          <t>D1</t>
        </is>
      </c>
      <c r="E24" t="n">
        <v>34</v>
      </c>
      <c r="F24" s="4" t="n">
        <v>15.28</v>
      </c>
      <c r="G24" s="5" t="n"/>
      <c r="H24" s="4" t="n">
        <v>519.52</v>
      </c>
      <c r="I24" s="6">
        <f>G24*E24</f>
        <v/>
      </c>
      <c r="J24" s="6">
        <f>I24-H24</f>
        <v/>
      </c>
      <c r="K24" s="7">
        <f>IF(H24=0,"",J24/H24)</f>
        <v/>
      </c>
      <c r="L24" s="6">
        <f>IF(ABS(K24)&lt;0.02," 合理",IF(ABS(K24)&lt;0.05," 关注"," 复查"))</f>
        <v/>
      </c>
    </row>
    <row r="25">
      <c r="A25" t="n">
        <v>24</v>
      </c>
      <c r="B25" t="inlineStr">
        <is>
          <t>PVC排水管DN100</t>
        </is>
      </c>
      <c r="C25" t="inlineStr">
        <is>
          <t>m</t>
        </is>
      </c>
      <c r="D25" t="inlineStr">
        <is>
          <t>D2</t>
        </is>
      </c>
      <c r="E25" t="n">
        <v>15</v>
      </c>
      <c r="F25" s="4" t="n">
        <v>15.28</v>
      </c>
      <c r="G25" s="5" t="n"/>
      <c r="H25" s="4" t="n">
        <v>229.2</v>
      </c>
      <c r="I25" s="6">
        <f>G25*E25</f>
        <v/>
      </c>
      <c r="J25" s="6">
        <f>I25-H25</f>
        <v/>
      </c>
      <c r="K25" s="7">
        <f>IF(H25=0,"",J25/H25)</f>
        <v/>
      </c>
      <c r="L25" s="6">
        <f>IF(ABS(K25)&lt;0.02," 合理",IF(ABS(K25)&lt;0.05," 关注"," 复查"))</f>
        <v/>
      </c>
    </row>
    <row r="26">
      <c r="A26" t="n">
        <v>25</v>
      </c>
      <c r="B26" t="inlineStr">
        <is>
          <t>PVC排水管DN100</t>
        </is>
      </c>
      <c r="C26" t="inlineStr">
        <is>
          <t>m</t>
        </is>
      </c>
      <c r="D26" t="inlineStr">
        <is>
          <t>D3</t>
        </is>
      </c>
      <c r="E26" t="n">
        <v>2</v>
      </c>
      <c r="F26" s="4" t="n">
        <v>15.28</v>
      </c>
      <c r="G26" s="5" t="n"/>
      <c r="H26" s="4" t="n">
        <v>30.56</v>
      </c>
      <c r="I26" s="6">
        <f>G26*E26</f>
        <v/>
      </c>
      <c r="J26" s="6">
        <f>I26-H26</f>
        <v/>
      </c>
      <c r="K26" s="7">
        <f>IF(H26=0,"",J26/H26)</f>
        <v/>
      </c>
      <c r="L26" s="6">
        <f>IF(ABS(K26)&lt;0.02," 合理",IF(ABS(K26)&lt;0.05," 关注"," 复查"))</f>
        <v/>
      </c>
    </row>
    <row r="27">
      <c r="A27" t="n">
        <v>26</v>
      </c>
      <c r="B27" t="inlineStr">
        <is>
          <t>PVC排水管DN100</t>
        </is>
      </c>
      <c r="C27" t="inlineStr">
        <is>
          <t>m</t>
        </is>
      </c>
      <c r="D27" t="inlineStr">
        <is>
          <t>D4</t>
        </is>
      </c>
      <c r="E27" t="n">
        <v>2</v>
      </c>
      <c r="F27" s="4" t="n">
        <v>15.28</v>
      </c>
      <c r="G27" s="5" t="n"/>
      <c r="H27" s="4" t="n">
        <v>30.56</v>
      </c>
      <c r="I27" s="6">
        <f>G27*E27</f>
        <v/>
      </c>
      <c r="J27" s="6">
        <f>I27-H27</f>
        <v/>
      </c>
      <c r="K27" s="7">
        <f>IF(H27=0,"",J27/H27)</f>
        <v/>
      </c>
      <c r="L27" s="6">
        <f>IF(ABS(K27)&lt;0.02," 合理",IF(ABS(K27)&lt;0.05," 关注"," 复查"))</f>
        <v/>
      </c>
    </row>
    <row r="28">
      <c r="A28" t="n">
        <v>27</v>
      </c>
      <c r="B28" t="inlineStr">
        <is>
          <t>PVC排水管DN100</t>
        </is>
      </c>
      <c r="C28" t="inlineStr">
        <is>
          <t>m</t>
        </is>
      </c>
      <c r="D28" t="inlineStr">
        <is>
          <t>E</t>
        </is>
      </c>
      <c r="E28" t="n">
        <v>28</v>
      </c>
      <c r="F28" s="4" t="n">
        <v>11.34</v>
      </c>
      <c r="G28" s="5" t="n"/>
      <c r="H28" s="4" t="n">
        <v>317.52</v>
      </c>
      <c r="I28" s="6">
        <f>G28*E28</f>
        <v/>
      </c>
      <c r="J28" s="6">
        <f>I28-H28</f>
        <v/>
      </c>
      <c r="K28" s="7">
        <f>IF(H28=0,"",J28/H28)</f>
        <v/>
      </c>
      <c r="L28" s="6">
        <f>IF(ABS(K28)&lt;0.02," 合理",IF(ABS(K28)&lt;0.05," 关注"," 复查"))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序号</t>
        </is>
      </c>
      <c r="B1" s="3" t="inlineStr">
        <is>
          <t>区域</t>
        </is>
      </c>
      <c r="C1" s="3" t="inlineStr">
        <is>
          <t>单位</t>
        </is>
      </c>
      <c r="D1" s="3" t="inlineStr">
        <is>
          <t>BOQ面积(m2)</t>
        </is>
      </c>
      <c r="E1" s="3" t="inlineStr">
        <is>
          <t>图算面积(m2)</t>
        </is>
      </c>
      <c r="F1" s="3" t="inlineStr">
        <is>
          <t>差异(m2)</t>
        </is>
      </c>
      <c r="G1" s="3" t="inlineStr">
        <is>
          <t>差异率</t>
        </is>
      </c>
      <c r="H1" s="3" t="inlineStr">
        <is>
          <t>判定</t>
        </is>
      </c>
    </row>
    <row r="2">
      <c r="A2" t="n">
        <v>1</v>
      </c>
      <c r="B2" t="inlineStr">
        <is>
          <t>主卫</t>
        </is>
      </c>
      <c r="C2" t="inlineStr">
        <is>
          <t>M2</t>
        </is>
      </c>
      <c r="D2" s="4" t="n">
        <v>4378.65</v>
      </c>
      <c r="E2" s="5" t="n"/>
      <c r="F2" s="6">
        <f>E2-D2</f>
        <v/>
      </c>
      <c r="G2" s="7">
        <f>IF(D2=0,"",F2/D2)</f>
        <v/>
      </c>
      <c r="H2" s="6">
        <f>IF(ABS(G2)&lt;0.02," 合理",IF(ABS(G2)&lt;0.05," 关注"," 复查"))</f>
        <v/>
      </c>
    </row>
    <row r="3">
      <c r="A3" t="n">
        <v>2</v>
      </c>
      <c r="B3" t="inlineStr">
        <is>
          <t>公卫(含盥洗间)</t>
        </is>
      </c>
      <c r="C3" t="inlineStr">
        <is>
          <t>M2</t>
        </is>
      </c>
      <c r="D3" s="4" t="n">
        <v>2827</v>
      </c>
      <c r="E3" s="5" t="n"/>
      <c r="F3" s="6">
        <f>E3-D3</f>
        <v/>
      </c>
      <c r="G3" s="7">
        <f>IF(D3=0,"",F3/D3)</f>
        <v/>
      </c>
      <c r="H3" s="6">
        <f>IF(ABS(G3)&lt;0.02," 合理",IF(ABS(G3)&lt;0.05," 关注"," 复查"))</f>
        <v/>
      </c>
    </row>
    <row r="4">
      <c r="A4" t="n">
        <v>3</v>
      </c>
      <c r="B4" t="inlineStr">
        <is>
          <t>公卫(D户型盥洗间)</t>
        </is>
      </c>
      <c r="C4" t="inlineStr">
        <is>
          <t>M2</t>
        </is>
      </c>
      <c r="D4" s="4" t="n">
        <v>1845.96</v>
      </c>
      <c r="E4" s="5" t="n"/>
      <c r="F4" s="6">
        <f>E4-D4</f>
        <v/>
      </c>
      <c r="G4" s="7">
        <f>IF(D4=0,"",F4/D4)</f>
        <v/>
      </c>
      <c r="H4" s="6">
        <f>IF(ABS(G4)&lt;0.02," 合理",IF(ABS(G4)&lt;0.05," 关注"," 复查"))</f>
        <v/>
      </c>
    </row>
    <row r="5">
      <c r="A5" t="n">
        <v>4</v>
      </c>
      <c r="B5" t="inlineStr">
        <is>
          <t>厨房</t>
        </is>
      </c>
      <c r="C5" t="inlineStr">
        <is>
          <t>M2</t>
        </is>
      </c>
      <c r="D5" s="4" t="n">
        <v>3986.38</v>
      </c>
      <c r="E5" s="5" t="n"/>
      <c r="F5" s="6">
        <f>E5-D5</f>
        <v/>
      </c>
      <c r="G5" s="7">
        <f>IF(D5=0,"",F5/D5)</f>
        <v/>
      </c>
      <c r="H5" s="6">
        <f>IF(ABS(G5)&lt;0.02," 合理",IF(ABS(G5)&lt;0.05," 关注"," 复查"))</f>
        <v/>
      </c>
    </row>
    <row r="6">
      <c r="A6" t="n">
        <v>5</v>
      </c>
      <c r="B6" t="inlineStr">
        <is>
          <t>次卫</t>
        </is>
      </c>
      <c r="C6" t="inlineStr">
        <is>
          <t>M2</t>
        </is>
      </c>
      <c r="D6" s="4" t="n">
        <v>3351.42</v>
      </c>
      <c r="E6" s="5" t="n"/>
      <c r="F6" s="6">
        <f>E6-D6</f>
        <v/>
      </c>
      <c r="G6" s="7">
        <f>IF(D6=0,"",F6/D6)</f>
        <v/>
      </c>
      <c r="H6" s="6">
        <f>IF(ABS(G6)&lt;0.02," 合理",IF(ABS(G6)&lt;0.05," 关注"," 复查"))</f>
        <v/>
      </c>
    </row>
    <row r="7">
      <c r="A7" t="n">
        <v>6</v>
      </c>
      <c r="B7" t="inlineStr">
        <is>
          <t>首层大堂前室</t>
        </is>
      </c>
      <c r="C7" t="inlineStr">
        <is>
          <t>M2</t>
        </is>
      </c>
      <c r="D7" s="4" t="n">
        <v>70.26000000000001</v>
      </c>
      <c r="E7" s="5" t="n"/>
      <c r="F7" s="6">
        <f>E7-D7</f>
        <v/>
      </c>
      <c r="G7" s="7">
        <f>IF(D7=0,"",F7/D7)</f>
        <v/>
      </c>
      <c r="H7" s="6">
        <f>IF(ABS(G7)&lt;0.02," 合理",IF(ABS(G7)&lt;0.05," 关注"," 复查"))</f>
        <v/>
      </c>
    </row>
    <row r="8">
      <c r="A8" t="n">
        <v>7</v>
      </c>
      <c r="B8" t="inlineStr">
        <is>
          <t>标准层大堂前室</t>
        </is>
      </c>
      <c r="C8" t="inlineStr">
        <is>
          <t>M2</t>
        </is>
      </c>
      <c r="D8" s="4" t="n">
        <v>238.88</v>
      </c>
      <c r="E8" s="5" t="n"/>
      <c r="F8" s="6">
        <f>E8-D8</f>
        <v/>
      </c>
      <c r="G8" s="7">
        <f>IF(D8=0,"",F8/D8)</f>
        <v/>
      </c>
      <c r="H8" s="6">
        <f>IF(ABS(G8)&lt;0.02," 合理",IF(ABS(G8)&lt;0.05," 关注"," 复查"))</f>
        <v/>
      </c>
    </row>
    <row r="9">
      <c r="A9" t="n">
        <v>8</v>
      </c>
      <c r="B9" t="inlineStr">
        <is>
          <t>标准层电梯厅</t>
        </is>
      </c>
      <c r="C9" t="inlineStr">
        <is>
          <t>M2</t>
        </is>
      </c>
      <c r="D9" s="4" t="n">
        <v>332.3</v>
      </c>
      <c r="E9" s="5" t="n"/>
      <c r="F9" s="6">
        <f>E9-D9</f>
        <v/>
      </c>
      <c r="G9" s="7">
        <f>IF(D9=0,"",F9/D9)</f>
        <v/>
      </c>
      <c r="H9" s="6">
        <f>IF(ABS(G9)&lt;0.02," 合理",IF(ABS(G9)&lt;0.05," 关注"," 复查"))</f>
        <v/>
      </c>
    </row>
    <row r="10">
      <c r="A10" t="n">
        <v>9</v>
      </c>
      <c r="B10" t="inlineStr">
        <is>
          <t>地下负层次大门</t>
        </is>
      </c>
      <c r="C10" t="inlineStr">
        <is>
          <t>M2</t>
        </is>
      </c>
      <c r="D10" s="4" t="n">
        <v>22.41</v>
      </c>
      <c r="E10" s="5" t="n"/>
      <c r="F10" s="6">
        <f>E10-D10</f>
        <v/>
      </c>
      <c r="G10" s="7">
        <f>IF(D10=0,"",F10/D10)</f>
        <v/>
      </c>
      <c r="H10" s="6">
        <f>IF(ABS(G10)&lt;0.02," 合理",IF(ABS(G10)&lt;0.05," 关注"," 复查"))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序号</t>
        </is>
      </c>
      <c r="B1" s="3" t="inlineStr">
        <is>
          <t>材料名称</t>
        </is>
      </c>
      <c r="C1" s="3" t="inlineStr">
        <is>
          <t>规格</t>
        </is>
      </c>
      <c r="D1" s="3" t="inlineStr">
        <is>
          <t>单位</t>
        </is>
      </c>
      <c r="E1" s="3" t="inlineStr">
        <is>
          <t>分类</t>
        </is>
      </c>
      <c r="F1" s="3" t="inlineStr">
        <is>
          <t>BOQ面积(m2)</t>
        </is>
      </c>
      <c r="G1" s="3" t="inlineStr">
        <is>
          <t>图算面积(m2)</t>
        </is>
      </c>
      <c r="H1" s="3" t="inlineStr">
        <is>
          <t>差异(m2)</t>
        </is>
      </c>
      <c r="I1" s="3" t="inlineStr">
        <is>
          <t>差异率</t>
        </is>
      </c>
      <c r="J1" s="3" t="inlineStr">
        <is>
          <t>判定</t>
        </is>
      </c>
    </row>
    <row r="2">
      <c r="A2" t="n">
        <v>1</v>
      </c>
      <c r="B2" t="inlineStr">
        <is>
          <t>打印拼花(亮光)</t>
        </is>
      </c>
      <c r="C2" t="inlineStr">
        <is>
          <t>1200x2400</t>
        </is>
      </c>
      <c r="D2" t="inlineStr">
        <is>
          <t>m2</t>
        </is>
      </c>
      <c r="E2" t="inlineStr">
        <is>
          <t>小户型</t>
        </is>
      </c>
      <c r="F2" s="4" t="n">
        <v>417.6</v>
      </c>
      <c r="G2" s="5" t="n"/>
      <c r="H2" s="6">
        <f>G2-F2</f>
        <v/>
      </c>
      <c r="I2" s="7">
        <f>IF(F2=0,"",H2/F2)</f>
        <v/>
      </c>
      <c r="J2" s="6">
        <f>IF(ABS(I2)&lt;0.02," 合理",IF(ABS(I2)&lt;0.05," 关注"," 复查"))</f>
        <v/>
      </c>
    </row>
    <row r="3">
      <c r="A3" t="n">
        <v>2</v>
      </c>
      <c r="B3" t="inlineStr">
        <is>
          <t>古奇黑瓷砖</t>
        </is>
      </c>
      <c r="C3" t="inlineStr">
        <is>
          <t>1200x2400</t>
        </is>
      </c>
      <c r="D3" t="inlineStr">
        <is>
          <t>m2</t>
        </is>
      </c>
      <c r="E3" t="inlineStr">
        <is>
          <t>小户型</t>
        </is>
      </c>
      <c r="F3" s="4" t="n">
        <v>734.4</v>
      </c>
      <c r="G3" s="5" t="n"/>
      <c r="H3" s="6">
        <f>G3-F3</f>
        <v/>
      </c>
      <c r="I3" s="7">
        <f>IF(F3=0,"",H3/F3)</f>
        <v/>
      </c>
      <c r="J3" s="6">
        <f>IF(ABS(I3)&lt;0.02," 合理",IF(ABS(I3)&lt;0.05," 关注"," 复查"))</f>
        <v/>
      </c>
    </row>
    <row r="4">
      <c r="A4" t="n">
        <v>3</v>
      </c>
      <c r="B4" t="inlineStr">
        <is>
          <t>云雾白(亮光)地面</t>
        </is>
      </c>
      <c r="C4" t="inlineStr">
        <is>
          <t>900x1800</t>
        </is>
      </c>
      <c r="D4" t="inlineStr">
        <is>
          <t>m2</t>
        </is>
      </c>
      <c r="E4" t="inlineStr">
        <is>
          <t>小户型</t>
        </is>
      </c>
      <c r="F4" s="4" t="n">
        <v>8482.32</v>
      </c>
      <c r="G4" s="5" t="n"/>
      <c r="H4" s="6">
        <f>G4-F4</f>
        <v/>
      </c>
      <c r="I4" s="7">
        <f>IF(F4=0,"",H4/F4)</f>
        <v/>
      </c>
      <c r="J4" s="6">
        <f>IF(ABS(I4)&lt;0.02," 合理",IF(ABS(I4)&lt;0.05," 关注"," 复查"))</f>
        <v/>
      </c>
    </row>
    <row r="5">
      <c r="A5" t="n">
        <v>4</v>
      </c>
      <c r="B5" t="inlineStr">
        <is>
          <t>云雾白(柔光)卫生间地</t>
        </is>
      </c>
      <c r="C5" t="inlineStr">
        <is>
          <t>900x1800</t>
        </is>
      </c>
      <c r="D5" t="inlineStr">
        <is>
          <t>m2</t>
        </is>
      </c>
      <c r="E5" t="inlineStr">
        <is>
          <t>小户型</t>
        </is>
      </c>
      <c r="F5" s="4" t="n">
        <v>1046.52</v>
      </c>
      <c r="G5" s="5" t="n"/>
      <c r="H5" s="6">
        <f>G5-F5</f>
        <v/>
      </c>
      <c r="I5" s="7">
        <f>IF(F5=0,"",H5/F5)</f>
        <v/>
      </c>
      <c r="J5" s="6">
        <f>IF(ABS(I5)&lt;0.02," 合理",IF(ABS(I5)&lt;0.05," 关注"," 复查"))</f>
        <v/>
      </c>
    </row>
    <row r="6">
      <c r="A6" t="n">
        <v>5</v>
      </c>
      <c r="B6" t="inlineStr">
        <is>
          <t>芬迪白(亮光)背景墙</t>
        </is>
      </c>
      <c r="C6" t="inlineStr">
        <is>
          <t>1200x2400</t>
        </is>
      </c>
      <c r="D6" t="inlineStr">
        <is>
          <t>m2</t>
        </is>
      </c>
      <c r="E6" t="inlineStr">
        <is>
          <t>小户型</t>
        </is>
      </c>
      <c r="F6" s="4" t="n">
        <v>2496.96</v>
      </c>
      <c r="G6" s="5" t="n"/>
      <c r="H6" s="6">
        <f>G6-F6</f>
        <v/>
      </c>
      <c r="I6" s="7">
        <f>IF(F6=0,"",H6/F6)</f>
        <v/>
      </c>
      <c r="J6" s="6">
        <f>IF(ABS(I6)&lt;0.02," 合理",IF(ABS(I6)&lt;0.05," 关注"," 复查"))</f>
        <v/>
      </c>
    </row>
    <row r="7">
      <c r="A7" t="n">
        <v>6</v>
      </c>
      <c r="B7" t="inlineStr">
        <is>
          <t>鱼肚白(亮光)厨卫墙面</t>
        </is>
      </c>
      <c r="C7" t="inlineStr">
        <is>
          <t>900x2600</t>
        </is>
      </c>
      <c r="D7" t="inlineStr">
        <is>
          <t>m2</t>
        </is>
      </c>
      <c r="E7" t="inlineStr">
        <is>
          <t>小户型</t>
        </is>
      </c>
      <c r="F7" s="4" t="n">
        <v>8314.02</v>
      </c>
      <c r="G7" s="5" t="n"/>
      <c r="H7" s="6">
        <f>G7-F7</f>
        <v/>
      </c>
      <c r="I7" s="7">
        <f>IF(F7=0,"",H7/F7)</f>
        <v/>
      </c>
      <c r="J7" s="6">
        <f>IF(ABS(I7)&lt;0.02," 合理",IF(ABS(I7)&lt;0.05," 关注"," 复查"))</f>
        <v/>
      </c>
    </row>
    <row r="8">
      <c r="A8" t="n">
        <v>7</v>
      </c>
      <c r="B8" t="inlineStr">
        <is>
          <t>仿石面阳台地面</t>
        </is>
      </c>
      <c r="C8" t="inlineStr">
        <is>
          <t>600x1200</t>
        </is>
      </c>
      <c r="D8" t="inlineStr">
        <is>
          <t>m2</t>
        </is>
      </c>
      <c r="E8" t="inlineStr">
        <is>
          <t>小户型</t>
        </is>
      </c>
      <c r="F8" s="4" t="n">
        <v>73.44</v>
      </c>
      <c r="G8" s="5" t="n"/>
      <c r="H8" s="6">
        <f>G8-F8</f>
        <v/>
      </c>
      <c r="I8" s="7">
        <f>IF(F8=0,"",H8/F8)</f>
        <v/>
      </c>
      <c r="J8" s="6">
        <f>IF(ABS(I8)&lt;0.02," 合理",IF(ABS(I8)&lt;0.05," 关注"," 复查"))</f>
        <v/>
      </c>
    </row>
    <row r="9">
      <c r="A9" t="n">
        <v>8</v>
      </c>
      <c r="B9" t="inlineStr">
        <is>
          <t>深灰色大板(大面积)</t>
        </is>
      </c>
      <c r="C9" t="inlineStr">
        <is>
          <t>900x1800</t>
        </is>
      </c>
      <c r="D9" t="inlineStr">
        <is>
          <t>m2</t>
        </is>
      </c>
      <c r="E9" t="inlineStr">
        <is>
          <t>大户型</t>
        </is>
      </c>
      <c r="F9" s="4" t="n">
        <v>10332.36</v>
      </c>
      <c r="G9" s="5" t="n"/>
      <c r="H9" s="6">
        <f>G9-F9</f>
        <v/>
      </c>
      <c r="I9" s="7">
        <f>IF(F9=0,"",H9/F9)</f>
        <v/>
      </c>
      <c r="J9" s="6">
        <f>IF(ABS(I9)&lt;0.02," 合理",IF(ABS(I9)&lt;0.05," 关注"," 复查"))</f>
        <v/>
      </c>
    </row>
    <row r="10">
      <c r="A10" t="n">
        <v>9</v>
      </c>
      <c r="B10" t="inlineStr">
        <is>
          <t>深灰色大板(卫生间地)</t>
        </is>
      </c>
      <c r="C10" t="inlineStr">
        <is>
          <t>900x1800</t>
        </is>
      </c>
      <c r="D10" t="inlineStr">
        <is>
          <t>m2</t>
        </is>
      </c>
      <c r="E10" t="inlineStr">
        <is>
          <t>大户型</t>
        </is>
      </c>
      <c r="F10" s="4" t="n">
        <v>777.6</v>
      </c>
      <c r="G10" s="5" t="n"/>
      <c r="H10" s="6">
        <f>G10-F10</f>
        <v/>
      </c>
      <c r="I10" s="7">
        <f>IF(F10=0,"",H10/F10)</f>
        <v/>
      </c>
      <c r="J10" s="6">
        <f>IF(ABS(I10)&lt;0.02," 合理",IF(ABS(I10)&lt;0.05," 关注"," 复查"))</f>
        <v/>
      </c>
    </row>
    <row r="11">
      <c r="A11" t="n">
        <v>10</v>
      </c>
      <c r="B11" t="inlineStr">
        <is>
          <t>大板地面拼花(深色)</t>
        </is>
      </c>
      <c r="C11" t="inlineStr">
        <is>
          <t>1200x2400</t>
        </is>
      </c>
      <c r="D11" t="inlineStr">
        <is>
          <t>m2</t>
        </is>
      </c>
      <c r="E11" t="inlineStr">
        <is>
          <t>大户型</t>
        </is>
      </c>
      <c r="F11" s="4" t="n">
        <v>483.84</v>
      </c>
      <c r="G11" s="5" t="n"/>
      <c r="H11" s="6">
        <f>G11-F11</f>
        <v/>
      </c>
      <c r="I11" s="7">
        <f>IF(F11=0,"",H11/F11)</f>
        <v/>
      </c>
      <c r="J11" s="6">
        <f>IF(ABS(I11)&lt;0.02," 合理",IF(ABS(I11)&lt;0.05," 关注"," 复查"))</f>
        <v/>
      </c>
    </row>
    <row r="12">
      <c r="A12" t="n">
        <v>11</v>
      </c>
      <c r="B12" t="inlineStr">
        <is>
          <t>绿色大板(玲珑玉)</t>
        </is>
      </c>
      <c r="C12" t="inlineStr">
        <is>
          <t>1200x2700</t>
        </is>
      </c>
      <c r="D12" t="inlineStr">
        <is>
          <t>m2</t>
        </is>
      </c>
      <c r="E12" t="inlineStr">
        <is>
          <t>大户型</t>
        </is>
      </c>
      <c r="F12" s="4" t="n">
        <v>991.4400000000001</v>
      </c>
      <c r="G12" s="5" t="n"/>
      <c r="H12" s="6">
        <f>G12-F12</f>
        <v/>
      </c>
      <c r="I12" s="7">
        <f>IF(F12=0,"",H12/F12)</f>
        <v/>
      </c>
      <c r="J12" s="6">
        <f>IF(ABS(I12)&lt;0.02," 合理",IF(ABS(I12)&lt;0.05," 关注"," 复查"))</f>
        <v/>
      </c>
    </row>
    <row r="13">
      <c r="A13" t="n">
        <v>12</v>
      </c>
      <c r="B13" t="inlineStr">
        <is>
          <t>芬迪玉大板墙面</t>
        </is>
      </c>
      <c r="C13" t="inlineStr">
        <is>
          <t>1200x2700</t>
        </is>
      </c>
      <c r="D13" t="inlineStr">
        <is>
          <t>m2</t>
        </is>
      </c>
      <c r="E13" t="inlineStr">
        <is>
          <t>大户型</t>
        </is>
      </c>
      <c r="F13" s="4" t="n">
        <v>2293.92</v>
      </c>
      <c r="G13" s="5" t="n"/>
      <c r="H13" s="6">
        <f>G13-F13</f>
        <v/>
      </c>
      <c r="I13" s="7">
        <f>IF(F13=0,"",H13/F13)</f>
        <v/>
      </c>
      <c r="J13" s="6">
        <f>IF(ABS(I13)&lt;0.02," 合理",IF(ABS(I13)&lt;0.05," 关注"," 复查"))</f>
        <v/>
      </c>
    </row>
    <row r="14">
      <c r="A14" t="n">
        <v>13</v>
      </c>
      <c r="B14" t="inlineStr">
        <is>
          <t>浅色大板(烟雨江南)</t>
        </is>
      </c>
      <c r="C14" t="inlineStr">
        <is>
          <t>1200x2700</t>
        </is>
      </c>
      <c r="D14" t="inlineStr">
        <is>
          <t>m2</t>
        </is>
      </c>
      <c r="E14" t="inlineStr">
        <is>
          <t>大户型</t>
        </is>
      </c>
      <c r="F14" s="4" t="n">
        <v>5462.64</v>
      </c>
      <c r="G14" s="5" t="n"/>
      <c r="H14" s="6">
        <f>G14-F14</f>
        <v/>
      </c>
      <c r="I14" s="7">
        <f>IF(F14=0,"",H14/F14)</f>
        <v/>
      </c>
      <c r="J14" s="6">
        <f>IF(ABS(I14)&lt;0.02," 合理",IF(ABS(I14)&lt;0.05," 关注"," 复查"))</f>
        <v/>
      </c>
    </row>
    <row r="15">
      <c r="A15" t="n">
        <v>14</v>
      </c>
      <c r="B15" t="inlineStr">
        <is>
          <t>深色防滑(阳台地面)</t>
        </is>
      </c>
      <c r="C15" t="inlineStr">
        <is>
          <t>600x1200</t>
        </is>
      </c>
      <c r="D15" t="inlineStr">
        <is>
          <t>m2</t>
        </is>
      </c>
      <c r="E15" t="inlineStr">
        <is>
          <t>大户型</t>
        </is>
      </c>
      <c r="F15" s="4" t="n">
        <v>181.44</v>
      </c>
      <c r="G15" s="5" t="n"/>
      <c r="H15" s="6">
        <f>G15-F15</f>
        <v/>
      </c>
      <c r="I15" s="7">
        <f>IF(F15=0,"",H15/F15)</f>
        <v/>
      </c>
      <c r="J15" s="6">
        <f>IF(ABS(I15)&lt;0.02," 合理",IF(ABS(I15)&lt;0.05," 关注"," 复查"))</f>
        <v/>
      </c>
    </row>
    <row r="16">
      <c r="A16" t="n">
        <v>15</v>
      </c>
      <c r="B16" t="inlineStr">
        <is>
          <t>大板砖1(亮光)大堂</t>
        </is>
      </c>
      <c r="C16" t="inlineStr">
        <is>
          <t>1200x2700</t>
        </is>
      </c>
      <c r="D16" t="inlineStr">
        <is>
          <t>m2</t>
        </is>
      </c>
      <c r="E16" t="inlineStr">
        <is>
          <t>公区</t>
        </is>
      </c>
      <c r="F16" s="4" t="n">
        <v>1283.04</v>
      </c>
      <c r="G16" s="5" t="n"/>
      <c r="H16" s="6">
        <f>G16-F16</f>
        <v/>
      </c>
      <c r="I16" s="7">
        <f>IF(F16=0,"",H16/F16)</f>
        <v/>
      </c>
      <c r="J16" s="6">
        <f>IF(ABS(I16)&lt;0.02," 合理",IF(ABS(I16)&lt;0.05," 关注"," 复查"))</f>
        <v/>
      </c>
    </row>
    <row r="17">
      <c r="A17" t="n">
        <v>16</v>
      </c>
      <c r="B17" t="inlineStr">
        <is>
          <t>大板砖2(柔光)标准层地面</t>
        </is>
      </c>
      <c r="C17" t="inlineStr">
        <is>
          <t>900x1800</t>
        </is>
      </c>
      <c r="D17" t="inlineStr">
        <is>
          <t>m2</t>
        </is>
      </c>
      <c r="E17" t="inlineStr">
        <is>
          <t>公区</t>
        </is>
      </c>
      <c r="F17" s="4" t="n">
        <v>2138.4</v>
      </c>
      <c r="G17" s="5" t="n"/>
      <c r="H17" s="6">
        <f>G17-F17</f>
        <v/>
      </c>
      <c r="I17" s="7">
        <f>IF(F17=0,"",H17/F17)</f>
        <v/>
      </c>
      <c r="J17" s="6">
        <f>IF(ABS(I17)&lt;0.02," 合理",IF(ABS(I17)&lt;0.05," 关注"," 复查"))</f>
        <v/>
      </c>
    </row>
    <row r="18">
      <c r="A18" t="n">
        <v>17</v>
      </c>
      <c r="B18" t="inlineStr">
        <is>
          <t>大板砖3(柔光)排水沟</t>
        </is>
      </c>
      <c r="C18" t="inlineStr">
        <is>
          <t>900x1800</t>
        </is>
      </c>
      <c r="D18" t="inlineStr">
        <is>
          <t>m2</t>
        </is>
      </c>
      <c r="E18" t="inlineStr">
        <is>
          <t>公区</t>
        </is>
      </c>
      <c r="F18" s="4" t="n">
        <v>160.38</v>
      </c>
      <c r="G18" s="5" t="n"/>
      <c r="H18" s="6">
        <f>G18-F18</f>
        <v/>
      </c>
      <c r="I18" s="7">
        <f>IF(F18=0,"",H18/F18)</f>
        <v/>
      </c>
      <c r="J18" s="6">
        <f>IF(ABS(I18)&lt;0.02," 合理",IF(ABS(I18)&lt;0.05," 关注"," 复查"))</f>
        <v/>
      </c>
    </row>
    <row r="19">
      <c r="A19" t="n">
        <v>18</v>
      </c>
      <c r="B19" t="inlineStr">
        <is>
          <t>大板拼花1(柔光)小户型地面</t>
        </is>
      </c>
      <c r="C19" t="inlineStr">
        <is>
          <t>900x1800</t>
        </is>
      </c>
      <c r="D19" t="inlineStr">
        <is>
          <t>m2</t>
        </is>
      </c>
      <c r="E19" t="inlineStr">
        <is>
          <t>公区</t>
        </is>
      </c>
      <c r="F19" s="4" t="n">
        <v>534.6</v>
      </c>
      <c r="G19" s="5" t="n"/>
      <c r="H19" s="6">
        <f>G19-F19</f>
        <v/>
      </c>
      <c r="I19" s="7">
        <f>IF(F19=0,"",H19/F19)</f>
        <v/>
      </c>
      <c r="J19" s="6">
        <f>IF(ABS(I19)&lt;0.02," 合理",IF(ABS(I19)&lt;0.05," 关注"," 复查"))</f>
        <v/>
      </c>
    </row>
    <row r="20">
      <c r="A20" t="n">
        <v>19</v>
      </c>
      <c r="B20" t="inlineStr">
        <is>
          <t>大板拼花2(柔光)大户型地面</t>
        </is>
      </c>
      <c r="C20" t="inlineStr">
        <is>
          <t>900x1800</t>
        </is>
      </c>
      <c r="D20" t="inlineStr">
        <is>
          <t>m2</t>
        </is>
      </c>
      <c r="E20" t="inlineStr">
        <is>
          <t>公区</t>
        </is>
      </c>
      <c r="F20" s="4" t="n">
        <v>1603.8</v>
      </c>
      <c r="G20" s="5" t="n"/>
      <c r="H20" s="6">
        <f>G20-F20</f>
        <v/>
      </c>
      <c r="I20" s="7">
        <f>IF(F20=0,"",H20/F20)</f>
        <v/>
      </c>
      <c r="J20" s="6">
        <f>IF(ABS(I20)&lt;0.02," 合理",IF(ABS(I20)&lt;0.05," 关注"," 复查"))</f>
        <v/>
      </c>
    </row>
    <row r="21">
      <c r="A21" t="n">
        <v>20</v>
      </c>
      <c r="B21" t="inlineStr">
        <is>
          <t>白雪公主(亮光)标准层墙面</t>
        </is>
      </c>
      <c r="C21" t="inlineStr">
        <is>
          <t>1200x2400</t>
        </is>
      </c>
      <c r="D21" t="inlineStr">
        <is>
          <t>m2</t>
        </is>
      </c>
      <c r="E21" t="inlineStr">
        <is>
          <t>公区</t>
        </is>
      </c>
      <c r="F21" s="4" t="n">
        <v>2027.52</v>
      </c>
      <c r="G21" s="5" t="n"/>
      <c r="H21" s="6">
        <f>G21-F21</f>
        <v/>
      </c>
      <c r="I21" s="7">
        <f>IF(F21=0,"",H21/F21)</f>
        <v/>
      </c>
      <c r="J21" s="6">
        <f>IF(ABS(I21)&lt;0.02," 合理",IF(ABS(I21)&lt;0.05," 关注"," 复查"))</f>
        <v/>
      </c>
    </row>
    <row r="22">
      <c r="A22" t="n">
        <v>21</v>
      </c>
      <c r="B22" t="inlineStr">
        <is>
          <t>大板砖5(亮光)标准层墙面</t>
        </is>
      </c>
      <c r="C22" t="inlineStr">
        <is>
          <t>1200x2400</t>
        </is>
      </c>
      <c r="D22" t="inlineStr">
        <is>
          <t>m2</t>
        </is>
      </c>
      <c r="E22" t="inlineStr">
        <is>
          <t>公区</t>
        </is>
      </c>
      <c r="F22" s="4" t="n">
        <v>823.6799999999999</v>
      </c>
      <c r="G22" s="5" t="n"/>
      <c r="H22" s="6">
        <f>G22-F22</f>
        <v/>
      </c>
      <c r="I22" s="7">
        <f>IF(F22=0,"",H22/F22)</f>
        <v/>
      </c>
      <c r="J22" s="6">
        <f>IF(ABS(I22)&lt;0.02," 合理",IF(ABS(I22)&lt;0.05," 关注"," 复查"))</f>
        <v/>
      </c>
    </row>
    <row r="23">
      <c r="A23" t="n">
        <v>22</v>
      </c>
      <c r="B23" t="inlineStr">
        <is>
          <t>大板砖6(亮面)电梯门套</t>
        </is>
      </c>
      <c r="C23" t="inlineStr">
        <is>
          <t>1200x2700</t>
        </is>
      </c>
      <c r="D23" t="inlineStr">
        <is>
          <t>m2</t>
        </is>
      </c>
      <c r="E23" t="inlineStr">
        <is>
          <t>公区</t>
        </is>
      </c>
      <c r="F23" s="4" t="n">
        <v>213.84</v>
      </c>
      <c r="G23" s="5" t="n"/>
      <c r="H23" s="6">
        <f>G23-F23</f>
        <v/>
      </c>
      <c r="I23" s="7">
        <f>IF(F23=0,"",H23/F23)</f>
        <v/>
      </c>
      <c r="J23" s="6">
        <f>IF(ABS(I23)&lt;0.02," 合理",IF(ABS(I23)&lt;0.05," 关注"," 复查"))</f>
        <v/>
      </c>
    </row>
    <row r="24">
      <c r="A24" t="n">
        <v>23</v>
      </c>
      <c r="B24" t="inlineStr">
        <is>
          <t>大板砖7(柔光)轿厢地面</t>
        </is>
      </c>
      <c r="C24" t="inlineStr">
        <is>
          <t>1200x2400</t>
        </is>
      </c>
      <c r="D24" t="inlineStr">
        <is>
          <t>m2</t>
        </is>
      </c>
      <c r="E24" t="inlineStr">
        <is>
          <t>公区</t>
        </is>
      </c>
      <c r="F24" s="4" t="n">
        <v>63.36</v>
      </c>
      <c r="G24" s="5" t="n"/>
      <c r="H24" s="6">
        <f>G24-F24</f>
        <v/>
      </c>
      <c r="I24" s="7">
        <f>IF(F24=0,"",H24/F24)</f>
        <v/>
      </c>
      <c r="J24" s="6">
        <f>IF(ABS(I24)&lt;0.02," 合理",IF(ABS(I24)&lt;0.05," 关注"," 复查"))</f>
        <v/>
      </c>
    </row>
    <row r="25">
      <c r="A25" t="n">
        <v>24</v>
      </c>
      <c r="B25" t="inlineStr">
        <is>
          <t>白雪公主(柔光)局部地面</t>
        </is>
      </c>
      <c r="C25" t="inlineStr">
        <is>
          <t>900x1800</t>
        </is>
      </c>
      <c r="D25" t="inlineStr">
        <is>
          <t>m2</t>
        </is>
      </c>
      <c r="E25" t="inlineStr">
        <is>
          <t>公区</t>
        </is>
      </c>
      <c r="F25" s="4" t="n">
        <v>819.72</v>
      </c>
      <c r="G25" s="5" t="n"/>
      <c r="H25" s="6">
        <f>G25-F25</f>
        <v/>
      </c>
      <c r="I25" s="7">
        <f>IF(F25=0,"",H25/F25)</f>
        <v/>
      </c>
      <c r="J25" s="6">
        <f>IF(ABS(I25)&lt;0.02," 合理",IF(ABS(I25)&lt;0.05," 关注"," 复查"))</f>
        <v/>
      </c>
    </row>
    <row r="26">
      <c r="A26" t="n">
        <v>25</v>
      </c>
      <c r="B26" t="inlineStr">
        <is>
          <t>大板砖9(亮光)坡道背景墙</t>
        </is>
      </c>
      <c r="C26" t="inlineStr">
        <is>
          <t>1200x2700</t>
        </is>
      </c>
      <c r="D26" t="inlineStr">
        <is>
          <t>m2</t>
        </is>
      </c>
      <c r="E26" t="inlineStr">
        <is>
          <t>公区</t>
        </is>
      </c>
      <c r="F26" s="4" t="n">
        <v>285.12</v>
      </c>
      <c r="G26" s="5" t="n"/>
      <c r="H26" s="6">
        <f>G26-F26</f>
        <v/>
      </c>
      <c r="I26" s="7">
        <f>IF(F26=0,"",H26/F26)</f>
        <v/>
      </c>
      <c r="J26" s="6">
        <f>IF(ABS(I26)&lt;0.02," 合理",IF(ABS(I26)&lt;0.05," 关注"," 复查"))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序号</t>
        </is>
      </c>
      <c r="B1" s="3" t="inlineStr">
        <is>
          <t>材料名称</t>
        </is>
      </c>
      <c r="C1" s="3" t="inlineStr">
        <is>
          <t>规格型号</t>
        </is>
      </c>
      <c r="D1" s="3" t="inlineStr">
        <is>
          <t>单位</t>
        </is>
      </c>
      <c r="E1" s="3" t="inlineStr">
        <is>
          <t>BOQ工程量</t>
        </is>
      </c>
      <c r="F1" s="3" t="inlineStr">
        <is>
          <t>图算量</t>
        </is>
      </c>
      <c r="G1" s="3" t="inlineStr">
        <is>
          <t>差异</t>
        </is>
      </c>
      <c r="H1" s="3" t="inlineStr">
        <is>
          <t>差异率</t>
        </is>
      </c>
      <c r="I1" s="3" t="inlineStr">
        <is>
          <t>判定</t>
        </is>
      </c>
    </row>
    <row r="2">
      <c r="A2" t="n">
        <v>1</v>
      </c>
      <c r="B2" t="inlineStr">
        <is>
          <t>背胶</t>
        </is>
      </c>
      <c r="C2" t="inlineStr">
        <is>
          <t>墙面贴砖背胶处理</t>
        </is>
      </c>
      <c r="D2" t="inlineStr">
        <is>
          <t>M2</t>
        </is>
      </c>
      <c r="E2" s="4" t="n">
        <v>18886.64</v>
      </c>
      <c r="F2" s="5" t="n"/>
      <c r="G2" s="6">
        <f>F2-E2</f>
        <v/>
      </c>
      <c r="H2" s="7">
        <f>IF(E2=0,"",G2/E2)</f>
        <v/>
      </c>
      <c r="I2" s="6">
        <f>IF(ABS(H2)&lt;0.02," 合理",IF(ABS(H2)&lt;0.05," 关注"," 复查"))</f>
        <v/>
      </c>
    </row>
    <row r="3">
      <c r="A3" t="n">
        <v>2</v>
      </c>
      <c r="B3" t="inlineStr">
        <is>
          <t>WP-02同色墙布</t>
        </is>
      </c>
      <c r="C3" t="inlineStr">
        <is>
          <t>WP-02墙布(卧室/飘窗)</t>
        </is>
      </c>
      <c r="D3" t="inlineStr">
        <is>
          <t>M2</t>
        </is>
      </c>
      <c r="E3" s="4" t="n">
        <v>17452.76</v>
      </c>
      <c r="F3" s="5" t="n"/>
      <c r="G3" s="6">
        <f>F3-E3</f>
        <v/>
      </c>
      <c r="H3" s="7">
        <f>IF(E3=0,"",G3/E3)</f>
        <v/>
      </c>
      <c r="I3" s="6">
        <f>IF(ABS(H3)&lt;0.02," 合理",IF(ABS(H3)&lt;0.05," 关注"," 复查"))</f>
        <v/>
      </c>
    </row>
    <row r="4">
      <c r="A4" t="n">
        <v>3</v>
      </c>
      <c r="B4" t="inlineStr">
        <is>
          <t>WP-01墙布</t>
        </is>
      </c>
      <c r="C4" t="inlineStr">
        <is>
          <t>WP-01墙布墙面</t>
        </is>
      </c>
      <c r="D4" t="inlineStr">
        <is>
          <t>M2</t>
        </is>
      </c>
      <c r="E4" s="4" t="n">
        <v>15598.42</v>
      </c>
      <c r="F4" s="5" t="n"/>
      <c r="G4" s="6">
        <f>F4-E4</f>
        <v/>
      </c>
      <c r="H4" s="7">
        <f>IF(E4=0,"",G4/E4)</f>
        <v/>
      </c>
      <c r="I4" s="6">
        <f>IF(ABS(H4)&lt;0.02," 合理",IF(ABS(H4)&lt;0.05," 关注"," 复查"))</f>
        <v/>
      </c>
    </row>
    <row r="5">
      <c r="A5" t="n">
        <v>4</v>
      </c>
      <c r="B5" t="inlineStr">
        <is>
          <t>WP-02墙布</t>
        </is>
      </c>
      <c r="C5" t="inlineStr">
        <is>
          <t>WP-02墙布墙面</t>
        </is>
      </c>
      <c r="D5" t="inlineStr">
        <is>
          <t>M2</t>
        </is>
      </c>
      <c r="E5" s="4" t="n">
        <v>12935.27</v>
      </c>
      <c r="F5" s="5" t="n"/>
      <c r="G5" s="6">
        <f>F5-E5</f>
        <v/>
      </c>
      <c r="H5" s="7">
        <f>IF(E5=0,"",G5/E5)</f>
        <v/>
      </c>
      <c r="I5" s="6">
        <f>IF(ABS(H5)&lt;0.02," 合理",IF(ABS(H5)&lt;0.05," 关注"," 复查"))</f>
        <v/>
      </c>
    </row>
    <row r="6">
      <c r="A6" t="n">
        <v>5</v>
      </c>
      <c r="B6" t="inlineStr">
        <is>
          <t>基层板</t>
        </is>
      </c>
      <c r="C6" t="inlineStr">
        <is>
          <t>WD-01木纹冰火板(暗门)</t>
        </is>
      </c>
      <c r="D6" t="inlineStr">
        <is>
          <t>M2</t>
        </is>
      </c>
      <c r="E6" s="4" t="n">
        <v>8940.110000000001</v>
      </c>
      <c r="F6" s="5" t="n"/>
      <c r="G6" s="6">
        <f>F6-E6</f>
        <v/>
      </c>
      <c r="H6" s="7">
        <f>IF(E6=0,"",G6/E6)</f>
        <v/>
      </c>
      <c r="I6" s="6">
        <f>IF(ABS(H6)&lt;0.02," 合理",IF(ABS(H6)&lt;0.05," 关注"," 复查"))</f>
        <v/>
      </c>
    </row>
    <row r="7">
      <c r="A7" t="n">
        <v>6</v>
      </c>
      <c r="B7" t="inlineStr">
        <is>
          <t>鱼肚白(亮光)墙砖</t>
        </is>
      </c>
      <c r="C7" t="inlineStr">
        <is>
          <t>CT-07大板砖900x2600mm</t>
        </is>
      </c>
      <c r="D7" t="inlineStr">
        <is>
          <t>M2</t>
        </is>
      </c>
      <c r="E7" s="4" t="n">
        <v>8918.389999999999</v>
      </c>
      <c r="F7" s="5" t="n"/>
      <c r="G7" s="6">
        <f>F7-E7</f>
        <v/>
      </c>
      <c r="H7" s="7">
        <f>IF(E7=0,"",G7/E7)</f>
        <v/>
      </c>
      <c r="I7" s="6">
        <f>IF(ABS(H7)&lt;0.02," 合理",IF(ABS(H7)&lt;0.05," 关注"," 复查"))</f>
        <v/>
      </c>
    </row>
    <row r="8">
      <c r="A8" t="n">
        <v>7</v>
      </c>
      <c r="B8" t="inlineStr">
        <is>
          <t>石膏线</t>
        </is>
      </c>
      <c r="C8" t="inlineStr">
        <is>
          <t>成品石膏线条&lt;100mm</t>
        </is>
      </c>
      <c r="D8" t="inlineStr">
        <is>
          <t>M</t>
        </is>
      </c>
      <c r="E8" s="4" t="n">
        <v>8850.610000000001</v>
      </c>
      <c r="F8" s="5" t="n"/>
      <c r="G8" s="6">
        <f>F8-E8</f>
        <v/>
      </c>
      <c r="H8" s="7">
        <f>IF(E8=0,"",G8/E8)</f>
        <v/>
      </c>
      <c r="I8" s="6">
        <f>IF(ABS(H8)&lt;0.02," 合理",IF(ABS(H8)&lt;0.05," 关注"," 复查"))</f>
        <v/>
      </c>
    </row>
    <row r="9">
      <c r="A9" t="n">
        <v>8</v>
      </c>
      <c r="B9" t="inlineStr">
        <is>
          <t>云雾白(亮光)地砖</t>
        </is>
      </c>
      <c r="C9" t="inlineStr">
        <is>
          <t>CT-03瓷砖900x1800mm</t>
        </is>
      </c>
      <c r="D9" t="inlineStr">
        <is>
          <t>M2</t>
        </is>
      </c>
      <c r="E9" s="4" t="n">
        <v>7023.75</v>
      </c>
      <c r="F9" s="5" t="n"/>
      <c r="G9" s="6">
        <f>F9-E9</f>
        <v/>
      </c>
      <c r="H9" s="7">
        <f>IF(E9=0,"",G9/E9)</f>
        <v/>
      </c>
      <c r="I9" s="6">
        <f>IF(ABS(H9)&lt;0.02," 合理",IF(ABS(H9)&lt;0.05," 关注"," 复查"))</f>
        <v/>
      </c>
    </row>
    <row r="10">
      <c r="A10" t="n">
        <v>9</v>
      </c>
      <c r="B10" t="inlineStr">
        <is>
          <t>温德姆灰地砖</t>
        </is>
      </c>
      <c r="C10" t="inlineStr">
        <is>
          <t>CT-02瓷砖900x1800mm</t>
        </is>
      </c>
      <c r="D10" t="inlineStr">
        <is>
          <t>M2</t>
        </is>
      </c>
      <c r="E10" s="4" t="n">
        <v>6379.82</v>
      </c>
      <c r="F10" s="5" t="n"/>
      <c r="G10" s="6">
        <f>F10-E10</f>
        <v/>
      </c>
      <c r="H10" s="7">
        <f>IF(E10=0,"",G10/E10)</f>
        <v/>
      </c>
      <c r="I10" s="6">
        <f>IF(ABS(H10)&lt;0.02," 合理",IF(ABS(H10)&lt;0.05," 关注"," 复查"))</f>
        <v/>
      </c>
    </row>
    <row r="11">
      <c r="A11" t="n">
        <v>10</v>
      </c>
      <c r="B11" t="inlineStr">
        <is>
          <t>WP-01同色墙布</t>
        </is>
      </c>
      <c r="C11" t="inlineStr">
        <is>
          <t>WP-01墙布(客餐厅/飘窗)</t>
        </is>
      </c>
      <c r="D11" t="inlineStr">
        <is>
          <t>M2</t>
        </is>
      </c>
      <c r="E11" s="4" t="n">
        <v>3205.52</v>
      </c>
      <c r="F11" s="5" t="n"/>
      <c r="G11" s="6">
        <f>F11-E11</f>
        <v/>
      </c>
      <c r="H11" s="7">
        <f>IF(E11=0,"",G11/E11)</f>
        <v/>
      </c>
      <c r="I11" s="6">
        <f>IF(ABS(H11)&lt;0.02," 合理",IF(ABS(H11)&lt;0.05," 关注"," 复查"))</f>
        <v/>
      </c>
    </row>
    <row r="12">
      <c r="A12" t="n">
        <v>11</v>
      </c>
      <c r="B12" t="inlineStr">
        <is>
          <t>芬迪玉墙砖</t>
        </is>
      </c>
      <c r="C12" t="inlineStr">
        <is>
          <t>CT-05大板砖1200x2700mm</t>
        </is>
      </c>
      <c r="D12" t="inlineStr">
        <is>
          <t>M2</t>
        </is>
      </c>
      <c r="E12" s="4" t="n">
        <v>3097.62</v>
      </c>
      <c r="F12" s="5" t="n"/>
      <c r="G12" s="6">
        <f>F12-E12</f>
        <v/>
      </c>
      <c r="H12" s="7">
        <f>IF(E12=0,"",G12/E12)</f>
        <v/>
      </c>
      <c r="I12" s="6">
        <f>IF(ABS(H12)&lt;0.02," 合理",IF(ABS(H12)&lt;0.05," 关注"," 复查"))</f>
        <v/>
      </c>
    </row>
    <row r="13">
      <c r="A13" t="n">
        <v>12</v>
      </c>
      <c r="B13" t="inlineStr">
        <is>
          <t>PU-01皮革硬包</t>
        </is>
      </c>
      <c r="C13" t="inlineStr">
        <is>
          <t>PU-01皮革硬包</t>
        </is>
      </c>
      <c r="D13" t="inlineStr">
        <is>
          <t>M2</t>
        </is>
      </c>
      <c r="E13" s="4" t="n">
        <v>2672.39</v>
      </c>
      <c r="F13" s="5" t="n"/>
      <c r="G13" s="6">
        <f>F13-E13</f>
        <v/>
      </c>
      <c r="H13" s="7">
        <f>IF(E13=0,"",G13/E13)</f>
        <v/>
      </c>
      <c r="I13" s="6">
        <f>IF(ABS(H13)&lt;0.02," 合理",IF(ABS(H13)&lt;0.05," 关注"," 复查"))</f>
        <v/>
      </c>
    </row>
    <row r="14">
      <c r="A14" t="n">
        <v>13</v>
      </c>
      <c r="B14" t="inlineStr">
        <is>
          <t>芬迪白(亮光)墙砖</t>
        </is>
      </c>
      <c r="C14" t="inlineStr">
        <is>
          <t>CT-06大板砖1200x2700mm</t>
        </is>
      </c>
      <c r="D14" t="inlineStr">
        <is>
          <t>M2</t>
        </is>
      </c>
      <c r="E14" s="4" t="n">
        <v>2635.22</v>
      </c>
      <c r="F14" s="5" t="n"/>
      <c r="G14" s="6">
        <f>F14-E14</f>
        <v/>
      </c>
      <c r="H14" s="7">
        <f>IF(E14=0,"",G14/E14)</f>
        <v/>
      </c>
      <c r="I14" s="6">
        <f>IF(ABS(H14)&lt;0.02," 合理",IF(ABS(H14)&lt;0.05," 关注"," 复查"))</f>
        <v/>
      </c>
    </row>
    <row r="15">
      <c r="A15" t="n">
        <v>14</v>
      </c>
      <c r="B15" t="inlineStr">
        <is>
          <t>玲珑玉墙砖</t>
        </is>
      </c>
      <c r="C15" t="inlineStr">
        <is>
          <t>CT-04大板砖1200x2700mm</t>
        </is>
      </c>
      <c r="D15" t="inlineStr">
        <is>
          <t>M2</t>
        </is>
      </c>
      <c r="E15" s="4" t="n">
        <v>2423.64</v>
      </c>
      <c r="F15" s="5" t="n"/>
      <c r="G15" s="6">
        <f>F15-E15</f>
        <v/>
      </c>
      <c r="H15" s="7">
        <f>IF(E15=0,"",G15/E15)</f>
        <v/>
      </c>
      <c r="I15" s="6">
        <f>IF(ABS(H15)&lt;0.02," 合理",IF(ABS(H15)&lt;0.05," 关注"," 复查"))</f>
        <v/>
      </c>
    </row>
    <row r="16">
      <c r="A16" t="n">
        <v>15</v>
      </c>
      <c r="B16" t="inlineStr">
        <is>
          <t>烟雨江南墙砖</t>
        </is>
      </c>
      <c r="C16" t="inlineStr">
        <is>
          <t>CT-06大板砖1200x2400mm</t>
        </is>
      </c>
      <c r="D16" t="inlineStr">
        <is>
          <t>M2</t>
        </is>
      </c>
      <c r="E16" s="4" t="n">
        <v>1512.07</v>
      </c>
      <c r="F16" s="5" t="n"/>
      <c r="G16" s="6">
        <f>F16-E16</f>
        <v/>
      </c>
      <c r="H16" s="7">
        <f>IF(E16=0,"",G16/E16)</f>
        <v/>
      </c>
      <c r="I16" s="6">
        <f>IF(ABS(H16)&lt;0.02," 合理",IF(ABS(H16)&lt;0.05," 关注"," 复查"))</f>
        <v/>
      </c>
    </row>
    <row r="17">
      <c r="A17" t="n">
        <v>16</v>
      </c>
      <c r="B17" t="inlineStr">
        <is>
          <t>平替砖</t>
        </is>
      </c>
      <c r="C17" t="inlineStr">
        <is>
          <t>厨卫飘窗墙砖</t>
        </is>
      </c>
      <c r="D17" t="inlineStr">
        <is>
          <t>M2</t>
        </is>
      </c>
      <c r="E17" s="4" t="n">
        <v>1079</v>
      </c>
      <c r="F17" s="5" t="n"/>
      <c r="G17" s="6">
        <f>F17-E17</f>
        <v/>
      </c>
      <c r="H17" s="7">
        <f>IF(E17=0,"",G17/E17)</f>
        <v/>
      </c>
      <c r="I17" s="6">
        <f>IF(ABS(H17)&lt;0.02," 合理",IF(ABS(H17)&lt;0.05," 关注"," 复查"))</f>
        <v/>
      </c>
    </row>
    <row r="18">
      <c r="A18" t="n">
        <v>17</v>
      </c>
      <c r="B18" t="inlineStr">
        <is>
          <t>PU-01编织皮革硬包</t>
        </is>
      </c>
      <c r="C18" t="inlineStr">
        <is>
          <t>PU-01编织皮革硬包</t>
        </is>
      </c>
      <c r="D18" t="inlineStr">
        <is>
          <t>M2</t>
        </is>
      </c>
      <c r="E18" s="4" t="n">
        <v>946.9299999999999</v>
      </c>
      <c r="F18" s="5" t="n"/>
      <c r="G18" s="6">
        <f>F18-E18</f>
        <v/>
      </c>
      <c r="H18" s="7">
        <f>IF(E18=0,"",G18/E18)</f>
        <v/>
      </c>
      <c r="I18" s="6">
        <f>IF(ABS(H18)&lt;0.02," 合理",IF(ABS(H18)&lt;0.05," 关注"," 复查"))</f>
        <v/>
      </c>
    </row>
    <row r="19">
      <c r="A19" t="n">
        <v>18</v>
      </c>
      <c r="B19" t="inlineStr">
        <is>
          <t>云雾白(柔光)地砖</t>
        </is>
      </c>
      <c r="C19" t="inlineStr">
        <is>
          <t>CT-04瓷砖900x1800mm</t>
        </is>
      </c>
      <c r="D19" t="inlineStr">
        <is>
          <t>M2</t>
        </is>
      </c>
      <c r="E19" s="4" t="n">
        <v>893.12</v>
      </c>
      <c r="F19" s="5" t="n"/>
      <c r="G19" s="6">
        <f>F19-E19</f>
        <v/>
      </c>
      <c r="H19" s="7">
        <f>IF(E19=0,"",G19/E19)</f>
        <v/>
      </c>
      <c r="I19" s="6">
        <f>IF(ABS(H19)&lt;0.02," 合理",IF(ABS(H19)&lt;0.05," 关注"," 复查"))</f>
        <v/>
      </c>
    </row>
    <row r="20">
      <c r="A20" t="n">
        <v>19</v>
      </c>
      <c r="B20" t="inlineStr">
        <is>
          <t>PU-03浅色肌理皮革</t>
        </is>
      </c>
      <c r="C20" t="inlineStr">
        <is>
          <t>PU-03浅色肌理皮革</t>
        </is>
      </c>
      <c r="D20" t="inlineStr">
        <is>
          <t>M2</t>
        </is>
      </c>
      <c r="E20" s="4" t="n">
        <v>888.61</v>
      </c>
      <c r="F20" s="5" t="n"/>
      <c r="G20" s="6">
        <f>F20-E20</f>
        <v/>
      </c>
      <c r="H20" s="7">
        <f>IF(E20=0,"",G20/E20)</f>
        <v/>
      </c>
      <c r="I20" s="6">
        <f>IF(ABS(H20)&lt;0.02," 合理",IF(ABS(H20)&lt;0.05," 关注"," 复查"))</f>
        <v/>
      </c>
    </row>
    <row r="21">
      <c r="A21" t="n">
        <v>20</v>
      </c>
      <c r="B21" t="inlineStr">
        <is>
          <t>ABS成品风口</t>
        </is>
      </c>
      <c r="C21" t="inlineStr">
        <is>
          <t>ABS成品风口</t>
        </is>
      </c>
      <c r="D21" t="inlineStr">
        <is>
          <t>M2</t>
        </is>
      </c>
      <c r="E21" s="4" t="n">
        <v>836.27</v>
      </c>
      <c r="F21" s="5" t="n"/>
      <c r="G21" s="6">
        <f>F21-E21</f>
        <v/>
      </c>
      <c r="H21" s="7">
        <f>IF(E21=0,"",G21/E21)</f>
        <v/>
      </c>
      <c r="I21" s="6">
        <f>IF(ABS(H21)&lt;0.02," 合理",IF(ABS(H21)&lt;0.05," 关注"," 复查"))</f>
        <v/>
      </c>
    </row>
    <row r="22">
      <c r="A22" t="n">
        <v>21</v>
      </c>
      <c r="B22" t="inlineStr">
        <is>
          <t>WD-01木饰面1.2mm</t>
        </is>
      </c>
      <c r="C22" t="inlineStr">
        <is>
          <t>WD-01木饰面</t>
        </is>
      </c>
      <c r="D22" t="inlineStr">
        <is>
          <t>M2</t>
        </is>
      </c>
      <c r="E22" s="4" t="n">
        <v>322.94</v>
      </c>
      <c r="F22" s="5" t="n"/>
      <c r="G22" s="6">
        <f>F22-E22</f>
        <v/>
      </c>
      <c r="H22" s="7">
        <f>IF(E22=0,"",G22/E22)</f>
        <v/>
      </c>
      <c r="I22" s="6">
        <f>IF(ABS(H22)&lt;0.02," 合理",IF(ABS(H22)&lt;0.05," 关注"," 复查"))</f>
        <v/>
      </c>
    </row>
    <row r="23">
      <c r="A23" t="n">
        <v>22</v>
      </c>
      <c r="B23" t="inlineStr">
        <is>
          <t>PU-02浅色肌理皮革</t>
        </is>
      </c>
      <c r="C23" t="inlineStr">
        <is>
          <t>PU-02浅色肌理皮革硬包</t>
        </is>
      </c>
      <c r="D23" t="inlineStr">
        <is>
          <t>M2</t>
        </is>
      </c>
      <c r="E23" s="4" t="n">
        <v>198.06</v>
      </c>
      <c r="F23" s="5" t="n"/>
      <c r="G23" s="6">
        <f>F23-E23</f>
        <v/>
      </c>
      <c r="H23" s="7">
        <f>IF(E23=0,"",G23/E23)</f>
        <v/>
      </c>
      <c r="I23" s="6">
        <f>IF(ABS(H23)&lt;0.02," 合理",IF(ABS(H23)&lt;0.05," 关注"," 复查"))</f>
        <v/>
      </c>
    </row>
    <row r="24">
      <c r="A24" t="n">
        <v>23</v>
      </c>
      <c r="B24" t="inlineStr">
        <is>
          <t>GL-04银镜6mm</t>
        </is>
      </c>
      <c r="C24" t="inlineStr">
        <is>
          <t>GL-04银镜</t>
        </is>
      </c>
      <c r="D24" t="inlineStr">
        <is>
          <t>M2</t>
        </is>
      </c>
      <c r="E24" s="4" t="n">
        <v>102.34</v>
      </c>
      <c r="F24" s="5" t="n"/>
      <c r="G24" s="6">
        <f>F24-E24</f>
        <v/>
      </c>
      <c r="H24" s="7">
        <f>IF(E24=0,"",G24/E24)</f>
        <v/>
      </c>
      <c r="I24" s="6">
        <f>IF(ABS(H24)&lt;0.02," 合理",IF(ABS(H24)&lt;0.05," 关注"," 复查"))</f>
        <v/>
      </c>
    </row>
    <row r="25">
      <c r="A25" t="n">
        <v>24</v>
      </c>
      <c r="B25" t="inlineStr">
        <is>
          <t>木纹冰火板</t>
        </is>
      </c>
      <c r="C25" t="inlineStr">
        <is>
          <t>WD-01木纹冰火板2</t>
        </is>
      </c>
      <c r="D25" t="inlineStr">
        <is>
          <t>M2</t>
        </is>
      </c>
      <c r="E25" s="4" t="n">
        <v>72.01000000000001</v>
      </c>
      <c r="F25" s="5" t="n"/>
      <c r="G25" s="6">
        <f>F25-E25</f>
        <v/>
      </c>
      <c r="H25" s="7">
        <f>IF(E25=0,"",G25/E25)</f>
        <v/>
      </c>
      <c r="I25" s="6">
        <f>IF(ABS(H25)&lt;0.02," 合理",IF(ABS(H25)&lt;0.05," 关注"," 复查"))</f>
        <v/>
      </c>
    </row>
    <row r="26">
      <c r="A26" t="n">
        <v>25</v>
      </c>
      <c r="B26" t="inlineStr">
        <is>
          <t>MR-04银镜6mm</t>
        </is>
      </c>
      <c r="C26" t="inlineStr">
        <is>
          <t>MR-04银镜(E)</t>
        </is>
      </c>
      <c r="D26" t="inlineStr">
        <is>
          <t>M2</t>
        </is>
      </c>
      <c r="E26" s="4" t="n">
        <v>71.12</v>
      </c>
      <c r="F26" s="5" t="n"/>
      <c r="G26" s="6">
        <f>F26-E26</f>
        <v/>
      </c>
      <c r="H26" s="7">
        <f>IF(E26=0,"",G26/E26)</f>
        <v/>
      </c>
      <c r="I26" s="6">
        <f>IF(ABS(H26)&lt;0.02," 合理",IF(ABS(H26)&lt;0.05," 关注"," 复查"))</f>
        <v/>
      </c>
    </row>
    <row r="27">
      <c r="A27" t="n">
        <v>26</v>
      </c>
      <c r="B27" t="inlineStr">
        <is>
          <t>GL-02水波纹瓦楞玻璃</t>
        </is>
      </c>
      <c r="C27" t="inlineStr">
        <is>
          <t>GL-02水波纹玻璃</t>
        </is>
      </c>
      <c r="D27" t="inlineStr">
        <is>
          <t>M2</t>
        </is>
      </c>
      <c r="E27" s="4" t="n">
        <v>27.03</v>
      </c>
      <c r="F27" s="5" t="n"/>
      <c r="G27" s="6">
        <f>F27-E27</f>
        <v/>
      </c>
      <c r="H27" s="7">
        <f>IF(E27=0,"",G27/E27)</f>
        <v/>
      </c>
      <c r="I27" s="6">
        <f>IF(ABS(H27)&lt;0.02," 合理",IF(ABS(H27)&lt;0.05," 关注"," 复查"))</f>
        <v/>
      </c>
    </row>
    <row r="28">
      <c r="A28" t="n">
        <v>27</v>
      </c>
      <c r="B28" t="inlineStr">
        <is>
          <t>18mm玉石线条</t>
        </is>
      </c>
      <c r="C28" t="inlineStr">
        <is>
          <t>ST-04石材线条</t>
        </is>
      </c>
      <c r="D28" t="inlineStr">
        <is>
          <t>M</t>
        </is>
      </c>
      <c r="E28" s="4" t="n">
        <v>4.5</v>
      </c>
      <c r="F28" s="5" t="n"/>
      <c r="G28" s="6">
        <f>F28-E28</f>
        <v/>
      </c>
      <c r="H28" s="7">
        <f>IF(E28=0,"",G28/E28)</f>
        <v/>
      </c>
      <c r="I28" s="6">
        <f>IF(ABS(H28)&lt;0.02," 合理",IF(ABS(H28)&lt;0.05," 关注"," 复查"))</f>
        <v/>
      </c>
    </row>
    <row r="29">
      <c r="A29" t="n">
        <v>28</v>
      </c>
      <c r="B29" t="inlineStr">
        <is>
          <t>20x30mm铝格栅</t>
        </is>
      </c>
      <c r="C29" t="inlineStr">
        <is>
          <t>天棚CA-03铝格栅</t>
        </is>
      </c>
      <c r="D29" t="inlineStr">
        <is>
          <t>M2</t>
        </is>
      </c>
      <c r="E29" s="4" t="n">
        <v>3.52</v>
      </c>
      <c r="F29" s="5" t="n"/>
      <c r="G29" s="6">
        <f>F29-E29</f>
        <v/>
      </c>
      <c r="H29" s="7">
        <f>IF(E29=0,"",G29/E29)</f>
        <v/>
      </c>
      <c r="I29" s="6">
        <f>IF(ABS(H29)&lt;0.02," 合理",IF(ABS(H29)&lt;0.05," 关注"," 复查"))</f>
        <v/>
      </c>
    </row>
    <row r="30">
      <c r="A30" t="n">
        <v>29</v>
      </c>
      <c r="B30" t="inlineStr">
        <is>
          <t>扶手(轿厢)</t>
        </is>
      </c>
      <c r="C30" t="inlineStr">
        <is>
          <t>轿厢扶手</t>
        </is>
      </c>
      <c r="D30" t="inlineStr">
        <is>
          <t>M</t>
        </is>
      </c>
      <c r="E30" s="4" t="n">
        <v>2.7</v>
      </c>
      <c r="F30" s="5" t="n"/>
      <c r="G30" s="6">
        <f>F30-E30</f>
        <v/>
      </c>
      <c r="H30" s="7">
        <f>IF(E30=0,"",G30/E30)</f>
        <v/>
      </c>
      <c r="I30" s="6">
        <f>IF(ABS(H30)&lt;0.02," 合理",IF(ABS(H30)&lt;0.05," 关注"," 复查"))</f>
        <v/>
      </c>
    </row>
    <row r="31">
      <c r="A31" t="n">
        <v>30</v>
      </c>
      <c r="B31" t="inlineStr">
        <is>
          <t>玉石线条</t>
        </is>
      </c>
      <c r="C31" t="inlineStr">
        <is>
          <t>ST-04石材线条</t>
        </is>
      </c>
      <c r="D31" t="inlineStr">
        <is>
          <t>M</t>
        </is>
      </c>
      <c r="E31" s="4" t="n">
        <v>2.6</v>
      </c>
      <c r="F31" s="5" t="n"/>
      <c r="G31" s="6">
        <f>F31-E31</f>
        <v/>
      </c>
      <c r="H31" s="7">
        <f>IF(E31=0,"",G31/E31)</f>
        <v/>
      </c>
      <c r="I31" s="6">
        <f>IF(ABS(H31)&lt;0.02," 合理",IF(ABS(H31)&lt;0.05," 关注"," 复查"))</f>
        <v/>
      </c>
    </row>
    <row r="32">
      <c r="A32" t="n">
        <v>31</v>
      </c>
      <c r="B32" t="inlineStr">
        <is>
          <t>SF-01防火软膜天棚</t>
        </is>
      </c>
      <c r="C32" t="inlineStr">
        <is>
          <t>SF-01防火软膜天棚</t>
        </is>
      </c>
      <c r="D32" t="inlineStr">
        <is>
          <t>M2</t>
        </is>
      </c>
      <c r="E32" s="4" t="n">
        <v>1.42</v>
      </c>
      <c r="F32" s="5" t="n"/>
      <c r="G32" s="6">
        <f>F32-E32</f>
        <v/>
      </c>
      <c r="H32" s="7">
        <f>IF(E32=0,"",G32/E32)</f>
        <v/>
      </c>
      <c r="I32" s="6">
        <f>IF(ABS(H32)&lt;0.02," 合理",IF(ABS(H32)&lt;0.05," 关注"," 复查"))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序号</t>
        </is>
      </c>
      <c r="B1" s="3" t="inlineStr">
        <is>
          <t>材料名称</t>
        </is>
      </c>
      <c r="C1" s="3" t="inlineStr">
        <is>
          <t>规格型号</t>
        </is>
      </c>
      <c r="D1" s="3" t="inlineStr">
        <is>
          <t>单位</t>
        </is>
      </c>
      <c r="E1" s="3" t="inlineStr">
        <is>
          <t>BOQ工程量</t>
        </is>
      </c>
      <c r="F1" s="3" t="inlineStr">
        <is>
          <t>图算量</t>
        </is>
      </c>
      <c r="G1" s="3" t="inlineStr">
        <is>
          <t>差异</t>
        </is>
      </c>
      <c r="H1" s="3" t="inlineStr">
        <is>
          <t>差异率</t>
        </is>
      </c>
      <c r="I1" s="3" t="inlineStr">
        <is>
          <t>判定</t>
        </is>
      </c>
    </row>
    <row r="2">
      <c r="A2" t="n">
        <v>1</v>
      </c>
      <c r="B2" t="inlineStr">
        <is>
          <t>古铜色铝合金1.2mm</t>
        </is>
      </c>
      <c r="C2" t="inlineStr">
        <is>
          <t>MT-01波浪板</t>
        </is>
      </c>
      <c r="D2" t="inlineStr">
        <is>
          <t>M</t>
        </is>
      </c>
      <c r="E2" s="4" t="n">
        <v>18208.5</v>
      </c>
      <c r="F2" s="5" t="n"/>
      <c r="G2" s="6">
        <f>F2-E2</f>
        <v/>
      </c>
      <c r="H2" s="7">
        <f>IF(E2=0,"",G2/E2)</f>
        <v/>
      </c>
      <c r="I2" s="6">
        <f>IF(ABS(H2)&lt;0.02," 合理",IF(ABS(H2)&lt;0.05," 关注"," 复查"))</f>
        <v/>
      </c>
    </row>
    <row r="3">
      <c r="A3" t="n">
        <v>2</v>
      </c>
      <c r="B3" t="inlineStr">
        <is>
          <t>和纹仿古铜不锈钢</t>
        </is>
      </c>
      <c r="C3" t="inlineStr">
        <is>
          <t>MT-01壁龛</t>
        </is>
      </c>
      <c r="D3" t="inlineStr">
        <is>
          <t>M</t>
        </is>
      </c>
      <c r="E3" s="4" t="n">
        <v>14144.77</v>
      </c>
      <c r="F3" s="5" t="n"/>
      <c r="G3" s="6">
        <f>F3-E3</f>
        <v/>
      </c>
      <c r="H3" s="7">
        <f>IF(E3=0,"",G3/E3)</f>
        <v/>
      </c>
      <c r="I3" s="6">
        <f>IF(ABS(H3)&lt;0.02," 合理",IF(ABS(H3)&lt;0.05," 关注"," 复查"))</f>
        <v/>
      </c>
    </row>
    <row r="4">
      <c r="A4" t="n">
        <v>3</v>
      </c>
      <c r="B4" t="inlineStr">
        <is>
          <t>不锈钢</t>
        </is>
      </c>
      <c r="C4" t="inlineStr">
        <is>
          <t>天花MT-04线条10mm</t>
        </is>
      </c>
      <c r="D4" t="inlineStr">
        <is>
          <t>M</t>
        </is>
      </c>
      <c r="E4" s="4" t="n">
        <v>5098.76</v>
      </c>
      <c r="F4" s="5" t="n"/>
      <c r="G4" s="6">
        <f>F4-E4</f>
        <v/>
      </c>
      <c r="H4" s="7">
        <f>IF(E4=0,"",G4/E4)</f>
        <v/>
      </c>
      <c r="I4" s="6">
        <f>IF(ABS(H4)&lt;0.02," 合理",IF(ABS(H4)&lt;0.05," 关注"," 复查"))</f>
        <v/>
      </c>
    </row>
    <row r="5">
      <c r="A5" t="n">
        <v>4</v>
      </c>
      <c r="B5" t="inlineStr">
        <is>
          <t>古铜色不锈钢1.2mm</t>
        </is>
      </c>
      <c r="C5" t="inlineStr">
        <is>
          <t>MT-02电梯门套</t>
        </is>
      </c>
      <c r="D5" t="inlineStr">
        <is>
          <t>M</t>
        </is>
      </c>
      <c r="E5" s="4" t="n">
        <v>3022.95</v>
      </c>
      <c r="F5" s="5" t="n"/>
      <c r="G5" s="6">
        <f>F5-E5</f>
        <v/>
      </c>
      <c r="H5" s="7">
        <f>IF(E5=0,"",G5/E5)</f>
        <v/>
      </c>
      <c r="I5" s="6">
        <f>IF(ABS(H5)&lt;0.02," 合理",IF(ABS(H5)&lt;0.05," 关注"," 复查"))</f>
        <v/>
      </c>
    </row>
    <row r="6">
      <c r="A6" t="n">
        <v>5</v>
      </c>
      <c r="B6" t="inlineStr">
        <is>
          <t>60x600铝扣板</t>
        </is>
      </c>
      <c r="C6" t="inlineStr">
        <is>
          <t>MT-05铝扣板吊顶</t>
        </is>
      </c>
      <c r="D6" t="inlineStr">
        <is>
          <t>M2</t>
        </is>
      </c>
      <c r="E6" s="4" t="n">
        <v>147.63</v>
      </c>
      <c r="F6" s="5" t="n"/>
      <c r="G6" s="6">
        <f>F6-E6</f>
        <v/>
      </c>
      <c r="H6" s="7">
        <f>IF(E6=0,"",G6/E6)</f>
        <v/>
      </c>
      <c r="I6" s="6">
        <f>IF(ABS(H6)&lt;0.02," 合理",IF(ABS(H6)&lt;0.05," 关注"," 复查"))</f>
        <v/>
      </c>
    </row>
    <row r="7">
      <c r="A7" t="n">
        <v>6</v>
      </c>
      <c r="B7" t="inlineStr">
        <is>
          <t>冲孔铝板2.0mm</t>
        </is>
      </c>
      <c r="C7" t="inlineStr">
        <is>
          <t>天棚CA-02</t>
        </is>
      </c>
      <c r="D7" t="inlineStr">
        <is>
          <t>M2</t>
        </is>
      </c>
      <c r="E7" s="4" t="n">
        <v>27.93</v>
      </c>
      <c r="F7" s="5" t="n"/>
      <c r="G7" s="6">
        <f>F7-E7</f>
        <v/>
      </c>
      <c r="H7" s="7">
        <f>IF(E7=0,"",G7/E7)</f>
        <v/>
      </c>
      <c r="I7" s="6">
        <f>IF(ABS(H7)&lt;0.02," 合理",IF(ABS(H7)&lt;0.05," 关注"," 复查"))</f>
        <v/>
      </c>
    </row>
    <row r="8">
      <c r="A8" t="n">
        <v>7</v>
      </c>
      <c r="B8" t="inlineStr">
        <is>
          <t>铜条</t>
        </is>
      </c>
      <c r="C8" t="inlineStr">
        <is>
          <t>地面铜条分隔条</t>
        </is>
      </c>
      <c r="D8" t="inlineStr">
        <is>
          <t>M</t>
        </is>
      </c>
      <c r="E8" s="4" t="n">
        <v>17.17</v>
      </c>
      <c r="F8" s="5" t="n"/>
      <c r="G8" s="6">
        <f>F8-E8</f>
        <v/>
      </c>
      <c r="H8" s="7">
        <f>IF(E8=0,"",G8/E8)</f>
        <v/>
      </c>
      <c r="I8" s="6">
        <f>IF(ABS(H8)&lt;0.02," 合理",IF(ABS(H8)&lt;0.05," 关注"," 复查"))</f>
        <v/>
      </c>
    </row>
    <row r="9">
      <c r="A9" t="n">
        <v>8</v>
      </c>
      <c r="B9" t="inlineStr">
        <is>
          <t>铝板2.0mm</t>
        </is>
      </c>
      <c r="C9" t="inlineStr">
        <is>
          <t>天棚CA-01</t>
        </is>
      </c>
      <c r="D9" t="inlineStr">
        <is>
          <t>M2</t>
        </is>
      </c>
      <c r="E9" s="4" t="n">
        <v>16.39</v>
      </c>
      <c r="F9" s="5" t="n"/>
      <c r="G9" s="6">
        <f>F9-E9</f>
        <v/>
      </c>
      <c r="H9" s="7">
        <f>IF(E9=0,"",G9/E9)</f>
        <v/>
      </c>
      <c r="I9" s="6">
        <f>IF(ABS(H9)&lt;0.02," 合理",IF(ABS(H9)&lt;0.05," 关注"," 复查"))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序号</t>
        </is>
      </c>
      <c r="B1" s="3" t="inlineStr">
        <is>
          <t>材料名称</t>
        </is>
      </c>
      <c r="C1" s="3" t="inlineStr">
        <is>
          <t>规格型号</t>
        </is>
      </c>
      <c r="D1" s="3" t="inlineStr">
        <is>
          <t>单位</t>
        </is>
      </c>
      <c r="E1" s="3" t="inlineStr">
        <is>
          <t>BOQ工程量</t>
        </is>
      </c>
      <c r="F1" s="3" t="inlineStr">
        <is>
          <t>图算量</t>
        </is>
      </c>
      <c r="G1" s="3" t="inlineStr">
        <is>
          <t>差异</t>
        </is>
      </c>
      <c r="H1" s="3" t="inlineStr">
        <is>
          <t>差异率</t>
        </is>
      </c>
      <c r="I1" s="3" t="inlineStr">
        <is>
          <t>判定</t>
        </is>
      </c>
    </row>
    <row r="2">
      <c r="A2" t="n">
        <v>1</v>
      </c>
      <c r="B2" t="inlineStr">
        <is>
          <t>灰色人造石15mm</t>
        </is>
      </c>
      <c r="C2" t="inlineStr">
        <is>
          <t>ST-01窗台板</t>
        </is>
      </c>
      <c r="D2" t="inlineStr">
        <is>
          <t>M2</t>
        </is>
      </c>
      <c r="E2" s="4" t="n">
        <v>1334.02</v>
      </c>
      <c r="F2" s="5" t="n"/>
      <c r="G2" s="6">
        <f>F2-E2</f>
        <v/>
      </c>
      <c r="H2" s="7">
        <f>IF(E2=0,"",G2/E2)</f>
        <v/>
      </c>
      <c r="I2" s="6">
        <f>IF(ABS(H2)&lt;0.02," 合理",IF(ABS(H2)&lt;0.05," 关注"," 复查"))</f>
        <v/>
      </c>
    </row>
    <row r="3">
      <c r="A3" t="n">
        <v>2</v>
      </c>
      <c r="B3" t="inlineStr">
        <is>
          <t>深色人造石20mm</t>
        </is>
      </c>
      <c r="C3" t="inlineStr">
        <is>
          <t>ST-01门槛石</t>
        </is>
      </c>
      <c r="D3" t="inlineStr">
        <is>
          <t>M2</t>
        </is>
      </c>
      <c r="E3" s="4" t="n">
        <v>957.96</v>
      </c>
      <c r="F3" s="5" t="n"/>
      <c r="G3" s="6">
        <f>F3-E3</f>
        <v/>
      </c>
      <c r="H3" s="7">
        <f>IF(E3=0,"",G3/E3)</f>
        <v/>
      </c>
      <c r="I3" s="6">
        <f>IF(ABS(H3)&lt;0.02," 合理",IF(ABS(H3)&lt;0.05," 关注"," 复查"))</f>
        <v/>
      </c>
    </row>
    <row r="4">
      <c r="A4" t="n">
        <v>3</v>
      </c>
      <c r="B4" t="inlineStr">
        <is>
          <t>绿色大理石20mm</t>
        </is>
      </c>
      <c r="C4" t="inlineStr">
        <is>
          <t>ST-02岛台台面</t>
        </is>
      </c>
      <c r="D4" t="inlineStr">
        <is>
          <t>M2</t>
        </is>
      </c>
      <c r="E4" s="4" t="n">
        <v>415.2</v>
      </c>
      <c r="F4" s="5" t="n"/>
      <c r="G4" s="6">
        <f>F4-E4</f>
        <v/>
      </c>
      <c r="H4" s="7">
        <f>IF(E4=0,"",G4/E4)</f>
        <v/>
      </c>
      <c r="I4" s="6">
        <f>IF(ABS(H4)&lt;0.02," 合理",IF(ABS(H4)&lt;0.05," 关注"," 复查"))</f>
        <v/>
      </c>
    </row>
    <row r="5">
      <c r="A5" t="n">
        <v>4</v>
      </c>
      <c r="B5" t="inlineStr">
        <is>
          <t>莫奈木纹大理石20mm</t>
        </is>
      </c>
      <c r="C5" t="inlineStr">
        <is>
          <t>ST-03圆柱(E)</t>
        </is>
      </c>
      <c r="D5" t="inlineStr">
        <is>
          <t>M</t>
        </is>
      </c>
      <c r="E5" s="4" t="n">
        <v>138.88</v>
      </c>
      <c r="F5" s="5" t="n"/>
      <c r="G5" s="6">
        <f>F5-E5</f>
        <v/>
      </c>
      <c r="H5" s="7">
        <f>IF(E5=0,"",G5/E5)</f>
        <v/>
      </c>
      <c r="I5" s="6">
        <f>IF(ABS(H5)&lt;0.02," 合理",IF(ABS(H5)&lt;0.05," 关注"," 复查"))</f>
        <v/>
      </c>
    </row>
    <row r="6">
      <c r="A6" t="n">
        <v>5</v>
      </c>
      <c r="B6" t="inlineStr">
        <is>
          <t>古奇黑大理石18mm</t>
        </is>
      </c>
      <c r="C6" t="inlineStr">
        <is>
          <t>ST-02门槛石</t>
        </is>
      </c>
      <c r="D6" t="inlineStr">
        <is>
          <t>M2</t>
        </is>
      </c>
      <c r="E6" s="4" t="n">
        <v>42.4</v>
      </c>
      <c r="F6" s="5" t="n"/>
      <c r="G6" s="6">
        <f>F6-E6</f>
        <v/>
      </c>
      <c r="H6" s="7">
        <f>IF(E6=0,"",G6/E6)</f>
        <v/>
      </c>
      <c r="I6" s="6">
        <f>IF(ABS(H6)&lt;0.02," 合理",IF(ABS(H6)&lt;0.05," 关注"," 复查"))</f>
        <v/>
      </c>
    </row>
    <row r="7">
      <c r="A7" t="n">
        <v>6</v>
      </c>
      <c r="B7" t="inlineStr">
        <is>
          <t>天然石材古奇黑18mm</t>
        </is>
      </c>
      <c r="C7" t="inlineStr">
        <is>
          <t>ST-01门槛石</t>
        </is>
      </c>
      <c r="D7" t="inlineStr">
        <is>
          <t>M2</t>
        </is>
      </c>
      <c r="E7" s="4" t="n">
        <v>25.52</v>
      </c>
      <c r="F7" s="5" t="n"/>
      <c r="G7" s="6">
        <f>F7-E7</f>
        <v/>
      </c>
      <c r="H7" s="7">
        <f>IF(E7=0,"",G7/E7)</f>
        <v/>
      </c>
      <c r="I7" s="6">
        <f>IF(ABS(H7)&lt;0.02," 合理",IF(ABS(H7)&lt;0.05," 关注"," 复查"))</f>
        <v/>
      </c>
    </row>
    <row r="8">
      <c r="A8" t="n">
        <v>7</v>
      </c>
      <c r="B8" t="inlineStr">
        <is>
          <t>白玉兰石材18mm</t>
        </is>
      </c>
      <c r="C8" t="inlineStr">
        <is>
          <t>ST-05墙面铺贴</t>
        </is>
      </c>
      <c r="D8" t="inlineStr">
        <is>
          <t>M2</t>
        </is>
      </c>
      <c r="E8" s="4" t="n">
        <v>14.24</v>
      </c>
      <c r="F8" s="5" t="n"/>
      <c r="G8" s="6">
        <f>F8-E8</f>
        <v/>
      </c>
      <c r="H8" s="7">
        <f>IF(E8=0,"",G8/E8)</f>
        <v/>
      </c>
      <c r="I8" s="6">
        <f>IF(ABS(H8)&lt;0.02," 合理",IF(ABS(H8)&lt;0.05," 关注"," 复查"))</f>
        <v/>
      </c>
    </row>
    <row r="9">
      <c r="A9" t="n">
        <v>8</v>
      </c>
      <c r="B9" t="inlineStr">
        <is>
          <t>玉石+花岗石复合20mm</t>
        </is>
      </c>
      <c r="C9" t="inlineStr">
        <is>
          <t>ST-04墙面干挂</t>
        </is>
      </c>
      <c r="D9" t="inlineStr">
        <is>
          <t>M2</t>
        </is>
      </c>
      <c r="E9" s="4" t="n">
        <v>14.08</v>
      </c>
      <c r="F9" s="5" t="n"/>
      <c r="G9" s="6">
        <f>F9-E9</f>
        <v/>
      </c>
      <c r="H9" s="7">
        <f>IF(E9=0,"",G9/E9)</f>
        <v/>
      </c>
      <c r="I9" s="6">
        <f>IF(ABS(H9)&lt;0.02," 合理",IF(ABS(H9)&lt;0.05," 关注"," 复查"))</f>
        <v/>
      </c>
    </row>
    <row r="10">
      <c r="A10" t="n">
        <v>9</v>
      </c>
      <c r="B10" t="inlineStr">
        <is>
          <t>奥特曼灰石材18mm</t>
        </is>
      </c>
      <c r="C10" t="inlineStr">
        <is>
          <t>ST-02地面铺贴</t>
        </is>
      </c>
      <c r="D10" t="inlineStr">
        <is>
          <t>M2</t>
        </is>
      </c>
      <c r="E10" s="4" t="n">
        <v>13.51</v>
      </c>
      <c r="F10" s="5" t="n"/>
      <c r="G10" s="6">
        <f>F10-E10</f>
        <v/>
      </c>
      <c r="H10" s="7">
        <f>IF(E10=0,"",G10/E10)</f>
        <v/>
      </c>
      <c r="I10" s="6">
        <f>IF(ABS(H10)&lt;0.02," 合理",IF(ABS(H10)&lt;0.05," 关注"," 复查"))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序号</t>
        </is>
      </c>
      <c r="B1" s="3" t="inlineStr">
        <is>
          <t>材料名称</t>
        </is>
      </c>
      <c r="C1" s="3" t="inlineStr">
        <is>
          <t>单位</t>
        </is>
      </c>
      <c r="D1" s="3" t="inlineStr">
        <is>
          <t>供应方式</t>
        </is>
      </c>
      <c r="E1" s="3" t="inlineStr">
        <is>
          <t>BOQ总量</t>
        </is>
      </c>
      <c r="F1" s="3" t="inlineStr">
        <is>
          <t>图算量</t>
        </is>
      </c>
      <c r="G1" s="3" t="inlineStr">
        <is>
          <t>差异</t>
        </is>
      </c>
      <c r="H1" s="3" t="inlineStr">
        <is>
          <t>差异率</t>
        </is>
      </c>
      <c r="I1" s="3" t="inlineStr">
        <is>
          <t>判定</t>
        </is>
      </c>
    </row>
    <row r="2">
      <c r="A2" t="n">
        <v>1</v>
      </c>
      <c r="B2" t="inlineStr">
        <is>
          <t>LED射灯(低位)</t>
        </is>
      </c>
      <c r="C2" t="inlineStr">
        <is>
          <t>套</t>
        </is>
      </c>
      <c r="D2" t="inlineStr">
        <is>
          <t>甲供</t>
        </is>
      </c>
      <c r="E2" s="4" t="n">
        <v>56</v>
      </c>
      <c r="F2" s="5" t="n"/>
      <c r="G2" s="6">
        <f>F2-E2</f>
        <v/>
      </c>
      <c r="H2" s="7">
        <f>IF(E2=0,"",G2/E2)</f>
        <v/>
      </c>
      <c r="I2" s="6">
        <f>IF(ABS(H2)&lt;0.02," 合理",IF(ABS(H2)&lt;0.05," 关注"," 复查"))</f>
        <v/>
      </c>
    </row>
    <row r="3">
      <c r="A3" t="n">
        <v>2</v>
      </c>
      <c r="B3" t="inlineStr">
        <is>
          <t>LED射灯(高位)</t>
        </is>
      </c>
      <c r="C3" t="inlineStr">
        <is>
          <t>套</t>
        </is>
      </c>
      <c r="D3" t="inlineStr">
        <is>
          <t>甲供</t>
        </is>
      </c>
      <c r="E3" s="4" t="n">
        <v>8</v>
      </c>
      <c r="F3" s="5" t="n"/>
      <c r="G3" s="6">
        <f>F3-E3</f>
        <v/>
      </c>
      <c r="H3" s="7">
        <f>IF(E3=0,"",G3/E3)</f>
        <v/>
      </c>
      <c r="I3" s="6">
        <f>IF(ABS(H3)&lt;0.02," 合理",IF(ABS(H3)&lt;0.05," 关注"," 复查"))</f>
        <v/>
      </c>
    </row>
    <row r="4">
      <c r="A4" t="n">
        <v>3</v>
      </c>
      <c r="B4" t="inlineStr">
        <is>
          <t>LED灯带(低位)</t>
        </is>
      </c>
      <c r="C4" t="inlineStr">
        <is>
          <t>m</t>
        </is>
      </c>
      <c r="D4" t="inlineStr">
        <is>
          <t>甲供</t>
        </is>
      </c>
      <c r="E4" s="4" t="n">
        <v>188.71</v>
      </c>
      <c r="F4" s="5" t="n"/>
      <c r="G4" s="6">
        <f>F4-E4</f>
        <v/>
      </c>
      <c r="H4" s="7">
        <f>IF(E4=0,"",G4/E4)</f>
        <v/>
      </c>
      <c r="I4" s="6">
        <f>IF(ABS(H4)&lt;0.02," 合理",IF(ABS(H4)&lt;0.05," 关注"," 复查"))</f>
        <v/>
      </c>
    </row>
    <row r="5">
      <c r="A5" t="n">
        <v>4</v>
      </c>
      <c r="B5" t="inlineStr">
        <is>
          <t>LED灯带(高位)</t>
        </is>
      </c>
      <c r="C5" t="inlineStr">
        <is>
          <t>m</t>
        </is>
      </c>
      <c r="D5" t="inlineStr">
        <is>
          <t>甲供</t>
        </is>
      </c>
      <c r="E5" s="4" t="n">
        <v>276.84</v>
      </c>
      <c r="F5" s="5" t="n"/>
      <c r="G5" s="6">
        <f>F5-E5</f>
        <v/>
      </c>
      <c r="H5" s="7">
        <f>IF(E5=0,"",G5/E5)</f>
        <v/>
      </c>
      <c r="I5" s="6">
        <f>IF(ABS(H5)&lt;0.02," 合理",IF(ABS(H5)&lt;0.05," 关注"," 复查"))</f>
        <v/>
      </c>
    </row>
    <row r="6">
      <c r="A6" t="n">
        <v>5</v>
      </c>
      <c r="B6" t="inlineStr">
        <is>
          <t>定制小射灯</t>
        </is>
      </c>
      <c r="C6" t="inlineStr">
        <is>
          <t>套</t>
        </is>
      </c>
      <c r="D6" t="inlineStr">
        <is>
          <t>甲供</t>
        </is>
      </c>
      <c r="E6" s="4" t="n">
        <v>16</v>
      </c>
      <c r="F6" s="5" t="n"/>
      <c r="G6" s="6">
        <f>F6-E6</f>
        <v/>
      </c>
      <c r="H6" s="7">
        <f>IF(E6=0,"",G6/E6)</f>
        <v/>
      </c>
      <c r="I6" s="6">
        <f>IF(ABS(H6)&lt;0.02," 合理",IF(ABS(H6)&lt;0.05," 关注"," 复查"))</f>
        <v/>
      </c>
    </row>
    <row r="7">
      <c r="A7" t="n">
        <v>6</v>
      </c>
      <c r="B7" t="inlineStr">
        <is>
          <t>磁吸调头格栅灯</t>
        </is>
      </c>
      <c r="C7" t="inlineStr">
        <is>
          <t>套</t>
        </is>
      </c>
      <c r="D7" t="inlineStr">
        <is>
          <t>甲供</t>
        </is>
      </c>
      <c r="E7" s="4" t="n">
        <v>33</v>
      </c>
      <c r="F7" s="5" t="n"/>
      <c r="G7" s="6">
        <f>F7-E7</f>
        <v/>
      </c>
      <c r="H7" s="7">
        <f>IF(E7=0,"",G7/E7)</f>
        <v/>
      </c>
      <c r="I7" s="6">
        <f>IF(ABS(H7)&lt;0.02," 合理",IF(ABS(H7)&lt;0.05," 关注"," 复查"))</f>
        <v/>
      </c>
    </row>
    <row r="8">
      <c r="A8" t="n">
        <v>7</v>
      </c>
      <c r="B8" t="inlineStr">
        <is>
          <t>磁吸轨道灯</t>
        </is>
      </c>
      <c r="C8" t="inlineStr">
        <is>
          <t>套</t>
        </is>
      </c>
      <c r="D8" t="inlineStr">
        <is>
          <t>甲供</t>
        </is>
      </c>
      <c r="E8" s="4" t="n">
        <v>33</v>
      </c>
      <c r="F8" s="5" t="n"/>
      <c r="G8" s="6">
        <f>F8-E8</f>
        <v/>
      </c>
      <c r="H8" s="7">
        <f>IF(E8=0,"",G8/E8)</f>
        <v/>
      </c>
      <c r="I8" s="6">
        <f>IF(ABS(H8)&lt;0.02," 合理",IF(ABS(H8)&lt;0.05," 关注"," 复查"))</f>
        <v/>
      </c>
    </row>
    <row r="9">
      <c r="A9" t="n">
        <v>8</v>
      </c>
      <c r="B9" t="inlineStr">
        <is>
          <t>五孔插座</t>
        </is>
      </c>
      <c r="C9" t="inlineStr">
        <is>
          <t>个</t>
        </is>
      </c>
      <c r="D9" t="inlineStr">
        <is>
          <t>甲供</t>
        </is>
      </c>
      <c r="E9" s="4" t="n">
        <v>24</v>
      </c>
      <c r="F9" s="5" t="n"/>
      <c r="G9" s="6">
        <f>F9-E9</f>
        <v/>
      </c>
      <c r="H9" s="7">
        <f>IF(E9=0,"",G9/E9)</f>
        <v/>
      </c>
      <c r="I9" s="6">
        <f>IF(ABS(H9)&lt;0.02," 合理",IF(ABS(H9)&lt;0.05," 关注"," 复查"))</f>
        <v/>
      </c>
    </row>
    <row r="10">
      <c r="A10" t="n">
        <v>9</v>
      </c>
      <c r="B10" t="inlineStr">
        <is>
          <t>网络插座</t>
        </is>
      </c>
      <c r="C10" t="inlineStr">
        <is>
          <t>个</t>
        </is>
      </c>
      <c r="D10" t="inlineStr">
        <is>
          <t>甲供</t>
        </is>
      </c>
      <c r="E10" s="4" t="n">
        <v>16</v>
      </c>
      <c r="F10" s="5" t="n"/>
      <c r="G10" s="6">
        <f>F10-E10</f>
        <v/>
      </c>
      <c r="H10" s="7">
        <f>IF(E10=0,"",G10/E10)</f>
        <v/>
      </c>
      <c r="I10" s="6">
        <f>IF(ABS(H10)&lt;0.02," 合理",IF(ABS(H10)&lt;0.05," 关注"," 复查"))</f>
        <v/>
      </c>
    </row>
    <row r="11">
      <c r="A11" t="n">
        <v>10</v>
      </c>
      <c r="B11" t="inlineStr">
        <is>
          <t>配线BV-2.5</t>
        </is>
      </c>
      <c r="C11" t="inlineStr">
        <is>
          <t>m</t>
        </is>
      </c>
      <c r="D11" t="inlineStr">
        <is>
          <t>乙供</t>
        </is>
      </c>
      <c r="E11" s="4" t="n">
        <v>1341.55</v>
      </c>
      <c r="F11" s="5" t="n"/>
      <c r="G11" s="6">
        <f>F11-E11</f>
        <v/>
      </c>
      <c r="H11" s="7">
        <f>IF(E11=0,"",G11/E11)</f>
        <v/>
      </c>
      <c r="I11" s="6">
        <f>IF(ABS(H11)&lt;0.02," 合理",IF(ABS(H11)&lt;0.05," 关注"," 复查"))</f>
        <v/>
      </c>
    </row>
    <row r="12">
      <c r="A12" t="n">
        <v>11</v>
      </c>
      <c r="B12" t="inlineStr">
        <is>
          <t>配线BV-4</t>
        </is>
      </c>
      <c r="C12" t="inlineStr">
        <is>
          <t>m</t>
        </is>
      </c>
      <c r="D12" t="inlineStr">
        <is>
          <t>乙供</t>
        </is>
      </c>
      <c r="E12" s="4" t="n">
        <v>412.8</v>
      </c>
      <c r="F12" s="5" t="n"/>
      <c r="G12" s="6">
        <f>F12-E12</f>
        <v/>
      </c>
      <c r="H12" s="7">
        <f>IF(E12=0,"",G12/E12)</f>
        <v/>
      </c>
      <c r="I12" s="6">
        <f>IF(ABS(H12)&lt;0.02," 合理",IF(ABS(H12)&lt;0.05," 关注"," 复查"))</f>
        <v/>
      </c>
    </row>
    <row r="13">
      <c r="A13" t="n">
        <v>12</v>
      </c>
      <c r="B13" t="inlineStr">
        <is>
          <t>LED射灯(标准层)</t>
        </is>
      </c>
      <c r="C13" t="inlineStr">
        <is>
          <t>套</t>
        </is>
      </c>
      <c r="D13" t="inlineStr">
        <is>
          <t>甲供</t>
        </is>
      </c>
      <c r="E13" s="4" t="n">
        <v>1558</v>
      </c>
      <c r="F13" s="5" t="n"/>
      <c r="G13" s="6">
        <f>F13-E13</f>
        <v/>
      </c>
      <c r="H13" s="7">
        <f>IF(E13=0,"",G13/E13)</f>
        <v/>
      </c>
      <c r="I13" s="6">
        <f>IF(ABS(H13)&lt;0.02," 合理",IF(ABS(H13)&lt;0.05," 关注"," 复查"))</f>
        <v/>
      </c>
    </row>
    <row r="14">
      <c r="A14" t="n">
        <v>13</v>
      </c>
      <c r="B14" t="inlineStr">
        <is>
          <t>LED灯带(低位)</t>
        </is>
      </c>
      <c r="C14" t="inlineStr">
        <is>
          <t>m</t>
        </is>
      </c>
      <c r="D14" t="inlineStr">
        <is>
          <t>甲供</t>
        </is>
      </c>
      <c r="E14" s="4" t="n">
        <v>1820.52</v>
      </c>
      <c r="F14" s="5" t="n"/>
      <c r="G14" s="6">
        <f>F14-E14</f>
        <v/>
      </c>
      <c r="H14" s="7">
        <f>IF(E14=0,"",G14/E14)</f>
        <v/>
      </c>
      <c r="I14" s="6">
        <f>IF(ABS(H14)&lt;0.02," 合理",IF(ABS(H14)&lt;0.05," 关注"," 复查"))</f>
        <v/>
      </c>
    </row>
    <row r="15">
      <c r="A15" t="n">
        <v>14</v>
      </c>
      <c r="B15" t="inlineStr">
        <is>
          <t>三孔插座(带开关)</t>
        </is>
      </c>
      <c r="C15" t="inlineStr">
        <is>
          <t>个</t>
        </is>
      </c>
      <c r="D15" t="inlineStr">
        <is>
          <t>甲供</t>
        </is>
      </c>
      <c r="E15" s="4" t="n">
        <v>416</v>
      </c>
      <c r="F15" s="5" t="n"/>
      <c r="G15" s="6">
        <f>F15-E15</f>
        <v/>
      </c>
      <c r="H15" s="7">
        <f>IF(E15=0,"",G15/E15)</f>
        <v/>
      </c>
      <c r="I15" s="6">
        <f>IF(ABS(H15)&lt;0.02," 合理",IF(ABS(H15)&lt;0.05," 关注"," 复查"))</f>
        <v/>
      </c>
    </row>
    <row r="16">
      <c r="A16" t="n">
        <v>15</v>
      </c>
      <c r="B16" t="inlineStr">
        <is>
          <t>五孔插座</t>
        </is>
      </c>
      <c r="C16" t="inlineStr">
        <is>
          <t>个</t>
        </is>
      </c>
      <c r="D16" t="inlineStr">
        <is>
          <t>甲供</t>
        </is>
      </c>
      <c r="E16" s="4" t="n">
        <v>162</v>
      </c>
      <c r="F16" s="5" t="n"/>
      <c r="G16" s="6">
        <f>F16-E16</f>
        <v/>
      </c>
      <c r="H16" s="7">
        <f>IF(E16=0,"",G16/E16)</f>
        <v/>
      </c>
      <c r="I16" s="6">
        <f>IF(ABS(H16)&lt;0.02," 合理",IF(ABS(H16)&lt;0.05," 关注"," 复查"))</f>
        <v/>
      </c>
    </row>
    <row r="17">
      <c r="A17" t="n">
        <v>16</v>
      </c>
      <c r="B17" t="inlineStr">
        <is>
          <t>86型插座防溅盒</t>
        </is>
      </c>
      <c r="C17" t="inlineStr">
        <is>
          <t>个</t>
        </is>
      </c>
      <c r="D17" t="inlineStr">
        <is>
          <t>甲供</t>
        </is>
      </c>
      <c r="E17" s="4" t="n">
        <v>578</v>
      </c>
      <c r="F17" s="5" t="n"/>
      <c r="G17" s="6">
        <f>F17-E17</f>
        <v/>
      </c>
      <c r="H17" s="7">
        <f>IF(E17=0,"",G17/E17)</f>
        <v/>
      </c>
      <c r="I17" s="6">
        <f>IF(ABS(H17)&lt;0.02," 合理",IF(ABS(H17)&lt;0.05," 关注"," 复查"))</f>
        <v/>
      </c>
    </row>
    <row r="18">
      <c r="A18" t="n">
        <v>17</v>
      </c>
      <c r="B18" t="inlineStr">
        <is>
          <t>配线BV-2.5</t>
        </is>
      </c>
      <c r="C18" t="inlineStr">
        <is>
          <t>m</t>
        </is>
      </c>
      <c r="D18" t="inlineStr">
        <is>
          <t>乙供</t>
        </is>
      </c>
      <c r="E18" s="4" t="n">
        <v>6681.17</v>
      </c>
      <c r="F18" s="5" t="n"/>
      <c r="G18" s="6">
        <f>F18-E18</f>
        <v/>
      </c>
      <c r="H18" s="7">
        <f>IF(E18=0,"",G18/E18)</f>
        <v/>
      </c>
      <c r="I18" s="6">
        <f>IF(ABS(H18)&lt;0.02," 合理",IF(ABS(H18)&lt;0.05," 关注"," 复查"))</f>
        <v/>
      </c>
    </row>
    <row r="19">
      <c r="A19" t="n">
        <v>18</v>
      </c>
      <c r="B19" t="inlineStr">
        <is>
          <t>配线BV-4</t>
        </is>
      </c>
      <c r="C19" t="inlineStr">
        <is>
          <t>m</t>
        </is>
      </c>
      <c r="D19" t="inlineStr">
        <is>
          <t>乙供</t>
        </is>
      </c>
      <c r="E19" s="4" t="n">
        <v>3981.12</v>
      </c>
      <c r="F19" s="5" t="n"/>
      <c r="G19" s="6">
        <f>F19-E19</f>
        <v/>
      </c>
      <c r="H19" s="7">
        <f>IF(E19=0,"",G19/E19)</f>
        <v/>
      </c>
      <c r="I19" s="6">
        <f>IF(ABS(H19)&lt;0.02," 合理",IF(ABS(H19)&lt;0.05," 关注"," 复查"))</f>
        <v/>
      </c>
    </row>
    <row r="20">
      <c r="A20" t="n">
        <v>19</v>
      </c>
      <c r="B20" t="inlineStr">
        <is>
          <t>地漏</t>
        </is>
      </c>
      <c r="C20" t="inlineStr">
        <is>
          <t>个</t>
        </is>
      </c>
      <c r="D20" t="inlineStr">
        <is>
          <t>乙供</t>
        </is>
      </c>
      <c r="E20" s="4" t="n">
        <v>416</v>
      </c>
      <c r="F20" s="5" t="n"/>
      <c r="G20" s="6">
        <f>F20-E20</f>
        <v/>
      </c>
      <c r="H20" s="7">
        <f>IF(E20=0,"",G20/E20)</f>
        <v/>
      </c>
      <c r="I20" s="6">
        <f>IF(ABS(H20)&lt;0.02," 合理",IF(ABS(H20)&lt;0.05," 关注"," 复查"))</f>
        <v/>
      </c>
    </row>
    <row r="21">
      <c r="A21" t="n">
        <v>20</v>
      </c>
      <c r="B21" t="inlineStr">
        <is>
          <t>水龙头</t>
        </is>
      </c>
      <c r="C21" t="inlineStr">
        <is>
          <t>个</t>
        </is>
      </c>
      <c r="D21" t="inlineStr">
        <is>
          <t>乙供</t>
        </is>
      </c>
      <c r="E21" s="4" t="n">
        <v>208</v>
      </c>
      <c r="F21" s="5" t="n"/>
      <c r="G21" s="6">
        <f>F21-E21</f>
        <v/>
      </c>
      <c r="H21" s="7">
        <f>IF(E21=0,"",G21/E21)</f>
        <v/>
      </c>
      <c r="I21" s="6">
        <f>IF(ABS(H21)&lt;0.02," 合理",IF(ABS(H21)&lt;0.05," 关注"," 复查"))</f>
        <v/>
      </c>
    </row>
    <row r="22">
      <c r="A22" t="n">
        <v>21</v>
      </c>
      <c r="B22" t="inlineStr">
        <is>
          <t>洗衣机地漏</t>
        </is>
      </c>
      <c r="C22" t="inlineStr">
        <is>
          <t>个</t>
        </is>
      </c>
      <c r="D22" t="inlineStr">
        <is>
          <t>乙供</t>
        </is>
      </c>
      <c r="E22" s="4" t="n">
        <v>208</v>
      </c>
      <c r="F22" s="5" t="n"/>
      <c r="G22" s="6">
        <f>F22-E22</f>
        <v/>
      </c>
      <c r="H22" s="7">
        <f>IF(E22=0,"",G22/E22)</f>
        <v/>
      </c>
      <c r="I22" s="6">
        <f>IF(ABS(H22)&lt;0.02," 合理",IF(ABS(H22)&lt;0.05," 关注"," 复查"))</f>
        <v/>
      </c>
    </row>
    <row r="23">
      <c r="A23" t="n">
        <v>22</v>
      </c>
      <c r="B23" t="inlineStr">
        <is>
          <t>洗衣机龙头</t>
        </is>
      </c>
      <c r="C23" t="inlineStr">
        <is>
          <t>个</t>
        </is>
      </c>
      <c r="D23" t="inlineStr">
        <is>
          <t>乙供</t>
        </is>
      </c>
      <c r="E23" s="4" t="n">
        <v>208</v>
      </c>
      <c r="F23" s="5" t="n"/>
      <c r="G23" s="6">
        <f>F23-E23</f>
        <v/>
      </c>
      <c r="H23" s="7">
        <f>IF(E23=0,"",G23/E23)</f>
        <v/>
      </c>
      <c r="I23" s="6">
        <f>IF(ABS(H23)&lt;0.02," 合理",IF(ABS(H23)&lt;0.05," 关注"," 复查"))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2026-07-21T03:04:20Z</dcterms:created>
  <dcterms:modified xmlns:dcterms="http://purl.org/dc/terms/" xmlns:xsi="http://www.w3.org/2001/XMLSchema-instance" xsi:type="dcterms:W3CDTF">2026-07-21T03:04:20Z</dcterms:modified>
</cp:coreProperties>
</file>